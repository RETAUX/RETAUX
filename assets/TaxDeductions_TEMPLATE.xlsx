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9" activeTab="9" autoFilterDateGrouping="1"/>
  </bookViews>
  <sheets>
    <sheet xmlns:r="http://schemas.openxmlformats.org/officeDocument/2006/relationships" name="Welcome!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lient Detail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D1. Work-related Car Expenses" sheetId="5" state="visible" r:id="rId5"/>
    <sheet xmlns:r="http://schemas.openxmlformats.org/officeDocument/2006/relationships" name="D2. Work-related travel expense" sheetId="6" state="visible" r:id="rId6"/>
    <sheet xmlns:r="http://schemas.openxmlformats.org/officeDocument/2006/relationships" name="D3. Work-related clothing" sheetId="7" state="visible" r:id="rId7"/>
    <sheet xmlns:r="http://schemas.openxmlformats.org/officeDocument/2006/relationships" name="D4. Self-education" sheetId="8" state="visible" r:id="rId8"/>
    <sheet xmlns:r="http://schemas.openxmlformats.org/officeDocument/2006/relationships" name="D5. Other work-related expenses" sheetId="9" state="visible" r:id="rId9"/>
    <sheet xmlns:r="http://schemas.openxmlformats.org/officeDocument/2006/relationships" name="D5. Depreciable expenses" sheetId="10" state="visible" r:id="rId10"/>
    <sheet xmlns:r="http://schemas.openxmlformats.org/officeDocument/2006/relationships" name="D6. Low value pool deduction" sheetId="11" state="visible" r:id="rId11"/>
    <sheet xmlns:r="http://schemas.openxmlformats.org/officeDocument/2006/relationships" name="D7. Interest deductions" sheetId="12" state="visible" r:id="rId12"/>
    <sheet xmlns:r="http://schemas.openxmlformats.org/officeDocument/2006/relationships" name="D8. Dividend deductions" sheetId="13" state="visible" r:id="rId13"/>
    <sheet xmlns:r="http://schemas.openxmlformats.org/officeDocument/2006/relationships" name="D9. Gifts or donations" sheetId="14" state="visible" r:id="rId14"/>
    <sheet xmlns:r="http://schemas.openxmlformats.org/officeDocument/2006/relationships" name="D10. Cost of managing tax affai" sheetId="15" state="visible" r:id="rId15"/>
    <sheet xmlns:r="http://schemas.openxmlformats.org/officeDocument/2006/relationships" name="D11. UPP of foreign pension or " sheetId="16" state="visible" r:id="rId16"/>
    <sheet xmlns:r="http://schemas.openxmlformats.org/officeDocument/2006/relationships" name="D12. Personal superannuation co" sheetId="17" state="visible" r:id="rId17"/>
    <sheet xmlns:r="http://schemas.openxmlformats.org/officeDocument/2006/relationships" name="D13. Deduction for project pool" sheetId="18" state="visible" r:id="rId18"/>
    <sheet xmlns:r="http://schemas.openxmlformats.org/officeDocument/2006/relationships" name="D14. Forestry managed investmen" sheetId="19" state="visible" r:id="rId19"/>
    <sheet xmlns:r="http://schemas.openxmlformats.org/officeDocument/2006/relationships" name="D15. Other deductions" sheetId="20" state="visible" r:id="rId20"/>
    <sheet xmlns:r="http://schemas.openxmlformats.org/officeDocument/2006/relationships" name="L1. Tax losses of earlier incom" sheetId="21" state="visible" r:id="rId21"/>
    <sheet xmlns:r="http://schemas.openxmlformats.org/officeDocument/2006/relationships" name="Sheet2" sheetId="22" state="hidden" r:id="rId2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_-&quot;$&quot;* #,##0.00_-;\-&quot;$&quot;* #,##0.00_-;_-&quot;$&quot;* &quot;-&quot;??_-;_-@"/>
    <numFmt numFmtId="166" formatCode="_-* #,##0.00_-;\-* #,##0.00_-;_-* &quot;-&quot;??_-;_-@"/>
  </numFmts>
  <fonts count="29">
    <font>
      <name val="Calibri"/>
      <color rgb="FF000000"/>
      <sz val="11"/>
      <scheme val="minor"/>
    </font>
    <font>
      <name val="Calibri"/>
      <family val="2"/>
      <color rgb="FF000000"/>
      <sz val="24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28"/>
    </font>
    <font>
      <name val="Calibri"/>
      <family val="2"/>
      <sz val="11"/>
    </font>
    <font>
      <name val="Calibri"/>
      <family val="2"/>
      <b val="1"/>
      <color rgb="FFFFFFFF"/>
      <sz val="14"/>
    </font>
    <font>
      <name val="Calibri"/>
      <family val="2"/>
      <color rgb="FF000000"/>
      <sz val="14"/>
    </font>
    <font>
      <name val="Calibri"/>
      <family val="2"/>
      <color theme="10"/>
      <sz val="11"/>
      <u val="single"/>
    </font>
    <font>
      <name val="Calibri"/>
      <family val="2"/>
      <b val="1"/>
      <color rgb="FFFFFFFF"/>
      <sz val="28"/>
    </font>
    <font>
      <name val="Calibri"/>
      <family val="2"/>
      <b val="1"/>
      <color rgb="FFFFFFFF"/>
      <sz val="16"/>
    </font>
    <font>
      <name val="Calibri"/>
      <family val="2"/>
      <b val="1"/>
      <color rgb="FF000000"/>
      <sz val="16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rgb="FF000000"/>
      <sz val="10"/>
    </font>
    <font>
      <name val="Calibri"/>
      <family val="2"/>
      <color rgb="FFFFFFFF"/>
      <sz val="12"/>
    </font>
    <font>
      <name val="Calibri"/>
      <family val="2"/>
      <color rgb="FF0000FF"/>
      <sz val="11"/>
      <u val="single"/>
    </font>
    <font>
      <name val="Calibri"/>
      <family val="2"/>
      <b val="1"/>
      <color theme="0"/>
      <sz val="14"/>
    </font>
    <font>
      <name val="Calibri"/>
      <family val="2"/>
      <b val="1"/>
      <color rgb="FF000000"/>
      <sz val="14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b val="1"/>
      <color rgb="FF000000"/>
      <sz val="10"/>
    </font>
    <font>
      <name val="Calibri"/>
      <family val="2"/>
      <b val="1"/>
      <color theme="0"/>
      <sz val="16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u val="single"/>
    </font>
    <font>
      <name val="Calibri"/>
      <family val="2"/>
      <color rgb="FF000000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FD7014"/>
        <bgColor rgb="FFFD701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FD7014"/>
      </patternFill>
    </fill>
  </fills>
  <borders count="2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2262F"/>
      </bottom>
      <diagonal/>
    </border>
    <border>
      <left/>
      <right/>
      <top/>
      <bottom style="medium">
        <color rgb="FF12262F"/>
      </bottom>
      <diagonal/>
    </border>
    <border>
      <left/>
      <right/>
      <top/>
      <bottom style="medium">
        <color rgb="FF12262F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/>
      <bottom style="medium">
        <color rgb="FF12262F"/>
      </bottom>
      <diagonal/>
    </border>
    <border>
      <left/>
      <right/>
      <top style="medium">
        <color rgb="FF12262F"/>
      </top>
      <bottom/>
      <diagonal/>
    </border>
  </borders>
  <cellStyleXfs count="1">
    <xf numFmtId="0" fontId="0" fillId="0" borderId="11"/>
  </cellStyleXfs>
  <cellXfs count="195">
    <xf numFmtId="0" fontId="0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3" fillId="0" borderId="0" pivotButton="0" quotePrefix="0" xfId="0"/>
    <xf numFmtId="165" fontId="12" fillId="5" borderId="20" pivotButton="0" quotePrefix="0" xfId="0"/>
    <xf numFmtId="0" fontId="6" fillId="2" borderId="11" applyAlignment="1" pivotButton="0" quotePrefix="0" xfId="0">
      <alignment horizontal="center" vertical="center"/>
    </xf>
    <xf numFmtId="165" fontId="12" fillId="5" borderId="15" pivotButton="0" quotePrefix="0" xfId="0"/>
    <xf numFmtId="0" fontId="2" fillId="0" borderId="0" pivotButton="0" quotePrefix="0" xfId="0"/>
    <xf numFmtId="0" fontId="18" fillId="0" borderId="21" applyAlignment="1" pivotButton="0" quotePrefix="0" xfId="0">
      <alignment horizontal="center"/>
    </xf>
    <xf numFmtId="0" fontId="19" fillId="0" borderId="25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2" fillId="0" borderId="12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165" fontId="13" fillId="5" borderId="15" pivotButton="0" quotePrefix="0" xfId="0"/>
    <xf numFmtId="0" fontId="18" fillId="2" borderId="11" pivotButton="0" quotePrefix="0" xfId="0"/>
    <xf numFmtId="0" fontId="2" fillId="2" borderId="11" pivotButton="0" quotePrefix="0" xfId="0"/>
    <xf numFmtId="165" fontId="15" fillId="5" borderId="20" pivotButton="0" quotePrefix="0" xfId="0"/>
    <xf numFmtId="165" fontId="15" fillId="5" borderId="15" pivotButton="0" quotePrefix="0" xfId="0"/>
    <xf numFmtId="165" fontId="22" fillId="5" borderId="15" pivotButton="0" quotePrefix="0" xfId="0"/>
    <xf numFmtId="0" fontId="23" fillId="2" borderId="26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4" fillId="2" borderId="11" applyAlignment="1" pivotButton="0" quotePrefix="0" xfId="0">
      <alignment vertical="center"/>
    </xf>
    <xf numFmtId="0" fontId="14" fillId="2" borderId="11" applyAlignment="1" pivotButton="0" quotePrefix="0" xfId="0">
      <alignment horizontal="center" vertical="center"/>
    </xf>
    <xf numFmtId="164" fontId="2" fillId="0" borderId="0" pivotButton="0" quotePrefix="0" xfId="0"/>
    <xf numFmtId="166" fontId="2" fillId="0" borderId="0" pivotButton="0" quotePrefix="0" xfId="0"/>
    <xf numFmtId="0" fontId="25" fillId="0" borderId="0" pivotButton="0" quotePrefix="0" xfId="0"/>
    <xf numFmtId="165" fontId="22" fillId="5" borderId="24" pivotButton="0" quotePrefix="0" xfId="0"/>
    <xf numFmtId="14" fontId="2" fillId="0" borderId="0" pivotButton="0" quotePrefix="0" xfId="0"/>
    <xf numFmtId="165" fontId="2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13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12" fillId="5" borderId="20" applyAlignment="1" pivotButton="0" quotePrefix="0" xfId="0">
      <alignment vertical="center"/>
    </xf>
    <xf numFmtId="165" fontId="12" fillId="5" borderId="1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3" fillId="4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2" fillId="5" borderId="20" applyAlignment="1" pivotButton="0" quotePrefix="0" xfId="0">
      <alignment horizontal="center" vertical="center"/>
    </xf>
    <xf numFmtId="164" fontId="12" fillId="5" borderId="15" applyAlignment="1" pivotButton="0" quotePrefix="0" xfId="0">
      <alignment horizontal="center" vertical="center"/>
    </xf>
    <xf numFmtId="165" fontId="12" fillId="5" borderId="23" applyAlignment="1" pivotButton="0" quotePrefix="0" xfId="0">
      <alignment horizontal="center" vertical="center"/>
    </xf>
    <xf numFmtId="165" fontId="12" fillId="5" borderId="15" applyAlignment="1" pivotButton="0" quotePrefix="0" xfId="0">
      <alignment horizontal="center" vertical="center"/>
    </xf>
    <xf numFmtId="165" fontId="12" fillId="5" borderId="24" applyAlignment="1" pivotButton="0" quotePrefix="0" xfId="0">
      <alignment horizontal="center" vertical="center"/>
    </xf>
    <xf numFmtId="0" fontId="11" fillId="3" borderId="11" applyAlignment="1" pivotButton="0" quotePrefix="0" xfId="0">
      <alignment vertical="center"/>
    </xf>
    <xf numFmtId="0" fontId="15" fillId="0" borderId="22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7" fillId="0" borderId="22" applyAlignment="1" pivotButton="0" quotePrefix="0" xfId="0">
      <alignment vertical="center"/>
    </xf>
    <xf numFmtId="165" fontId="13" fillId="0" borderId="15" applyAlignment="1" pivotButton="0" quotePrefix="0" xfId="0">
      <alignment vertical="center"/>
    </xf>
    <xf numFmtId="0" fontId="20" fillId="0" borderId="22" applyAlignment="1" pivotButton="0" quotePrefix="0" xfId="0">
      <alignment vertical="center"/>
    </xf>
    <xf numFmtId="0" fontId="18" fillId="2" borderId="11" applyAlignment="1" pivotButton="0" quotePrefix="0" xfId="0">
      <alignment vertical="center"/>
    </xf>
    <xf numFmtId="0" fontId="2" fillId="2" borderId="11" applyAlignment="1" pivotButton="0" quotePrefix="0" xfId="0">
      <alignment vertical="center"/>
    </xf>
    <xf numFmtId="0" fontId="2" fillId="3" borderId="11" applyAlignment="1" pivotButton="0" quotePrefix="0" xfId="0">
      <alignment vertical="center"/>
    </xf>
    <xf numFmtId="0" fontId="7" fillId="3" borderId="11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8" fillId="0" borderId="21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165" fontId="13" fillId="5" borderId="15" applyAlignment="1" pivotButton="0" quotePrefix="0" xfId="0">
      <alignment vertical="center"/>
    </xf>
    <xf numFmtId="10" fontId="12" fillId="5" borderId="15" applyAlignment="1" pivotButton="0" quotePrefix="0" xfId="0">
      <alignment vertical="center"/>
    </xf>
    <xf numFmtId="0" fontId="13" fillId="0" borderId="18" applyAlignment="1" pivotButton="0" quotePrefix="0" xfId="0">
      <alignment horizontal="left" vertical="center"/>
    </xf>
    <xf numFmtId="4" fontId="2" fillId="0" borderId="0" applyAlignment="1" pivotButton="0" quotePrefix="0" xfId="0">
      <alignment vertical="center"/>
    </xf>
    <xf numFmtId="0" fontId="5" fillId="0" borderId="18" pivotButton="0" quotePrefix="0" xfId="0"/>
    <xf numFmtId="0" fontId="12" fillId="0" borderId="17" applyAlignment="1" pivotButton="0" quotePrefix="0" xfId="0">
      <alignment horizontal="left"/>
    </xf>
    <xf numFmtId="165" fontId="15" fillId="5" borderId="20" applyAlignment="1" pivotButton="0" quotePrefix="0" xfId="0">
      <alignment vertical="center"/>
    </xf>
    <xf numFmtId="165" fontId="15" fillId="5" borderId="15" applyAlignment="1" pivotButton="0" quotePrefix="0" xfId="0">
      <alignment vertical="center"/>
    </xf>
    <xf numFmtId="165" fontId="22" fillId="5" borderId="15" applyAlignment="1" pivotButton="0" quotePrefix="0" xfId="0">
      <alignment vertical="center"/>
    </xf>
    <xf numFmtId="0" fontId="27" fillId="0" borderId="18" applyAlignment="1" pivotButton="0" quotePrefix="0" xfId="0">
      <alignment horizontal="left" vertical="center"/>
    </xf>
    <xf numFmtId="165" fontId="12" fillId="5" borderId="23" pivotButton="0" quotePrefix="0" xfId="0"/>
    <xf numFmtId="0" fontId="13" fillId="0" borderId="12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6" fillId="2" borderId="4" applyAlignment="1" pivotButton="0" quotePrefix="0" xfId="0">
      <alignment horizontal="left" vertical="center"/>
    </xf>
    <xf numFmtId="0" fontId="5" fillId="0" borderId="6" applyAlignment="1" pivotButton="0" quotePrefix="0" xfId="0">
      <alignment vertical="center"/>
    </xf>
    <xf numFmtId="0" fontId="13" fillId="0" borderId="17" applyAlignment="1" pivotButton="0" quotePrefix="0" xfId="0">
      <alignment horizontal="left" vertical="center"/>
    </xf>
    <xf numFmtId="0" fontId="5" fillId="0" borderId="18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/>
    </xf>
    <xf numFmtId="0" fontId="5" fillId="0" borderId="5" applyAlignment="1" pivotButton="0" quotePrefix="0" xfId="0">
      <alignment vertical="center"/>
    </xf>
    <xf numFmtId="0" fontId="12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2" borderId="4" applyAlignment="1" pivotButton="0" quotePrefix="0" xfId="0">
      <alignment horizontal="center" vertical="center"/>
    </xf>
    <xf numFmtId="0" fontId="5" fillId="0" borderId="5" pivotButton="0" quotePrefix="0" xfId="0"/>
    <xf numFmtId="0" fontId="5" fillId="0" borderId="6" pivotButton="0" quotePrefix="0" xfId="0"/>
    <xf numFmtId="0" fontId="12" fillId="0" borderId="10" applyAlignment="1" pivotButton="0" quotePrefix="0" xfId="0">
      <alignment horizontal="left" vertical="center" wrapText="1"/>
    </xf>
    <xf numFmtId="0" fontId="5" fillId="0" borderId="12" applyAlignment="1" pivotButton="0" quotePrefix="0" xfId="0">
      <alignment vertical="center"/>
    </xf>
    <xf numFmtId="0" fontId="12" fillId="0" borderId="17" applyAlignment="1" pivotButton="0" quotePrefix="0" xfId="0">
      <alignment horizontal="left" vertical="center" wrapText="1"/>
    </xf>
    <xf numFmtId="0" fontId="12" fillId="0" borderId="19" applyAlignment="1" pivotButton="0" quotePrefix="0" xfId="0">
      <alignment horizontal="left" vertical="center"/>
    </xf>
    <xf numFmtId="0" fontId="5" fillId="0" borderId="16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/>
    </xf>
    <xf numFmtId="0" fontId="12" fillId="0" borderId="16" applyAlignment="1" pivotButton="0" quotePrefix="0" xfId="0">
      <alignment horizontal="left" vertical="center"/>
    </xf>
    <xf numFmtId="0" fontId="12" fillId="5" borderId="14" applyAlignment="1" pivotButton="0" quotePrefix="0" xfId="0">
      <alignment horizontal="left" vertical="center"/>
    </xf>
    <xf numFmtId="0" fontId="5" fillId="0" borderId="17" applyAlignment="1" pivotButton="0" quotePrefix="0" xfId="0">
      <alignment vertical="center"/>
    </xf>
    <xf numFmtId="0" fontId="15" fillId="0" borderId="19" applyAlignment="1" pivotButton="0" quotePrefix="0" xfId="0">
      <alignment horizontal="center" vertical="center"/>
    </xf>
    <xf numFmtId="0" fontId="5" fillId="0" borderId="19" applyAlignment="1" pivotButton="0" quotePrefix="0" xfId="0">
      <alignment vertical="center"/>
    </xf>
    <xf numFmtId="0" fontId="16" fillId="2" borderId="4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12" fillId="0" borderId="17" applyAlignment="1" pivotButton="0" quotePrefix="0" xfId="0">
      <alignment horizontal="left"/>
    </xf>
    <xf numFmtId="0" fontId="5" fillId="0" borderId="18" pivotButton="0" quotePrefix="0" xfId="0"/>
    <xf numFmtId="0" fontId="13" fillId="0" borderId="17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2" fillId="0" borderId="10" applyAlignment="1" pivotButton="0" quotePrefix="0" xfId="0">
      <alignment horizontal="left"/>
    </xf>
    <xf numFmtId="0" fontId="5" fillId="0" borderId="12" pivotButton="0" quotePrefix="0" xfId="0"/>
    <xf numFmtId="0" fontId="15" fillId="0" borderId="17" applyAlignment="1" pivotButton="0" quotePrefix="0" xfId="0">
      <alignment horizontal="left"/>
    </xf>
    <xf numFmtId="0" fontId="15" fillId="0" borderId="10" applyAlignment="1" pivotButton="0" quotePrefix="0" xfId="0">
      <alignment horizontal="left"/>
    </xf>
    <xf numFmtId="0" fontId="15" fillId="0" borderId="17" applyAlignment="1" pivotButton="0" quotePrefix="0" xfId="0">
      <alignment horizontal="left" vertical="center"/>
    </xf>
    <xf numFmtId="0" fontId="22" fillId="0" borderId="17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18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/>
    </xf>
    <xf numFmtId="0" fontId="5" fillId="0" borderId="8" pivotButton="0" quotePrefix="0" xfId="0"/>
    <xf numFmtId="0" fontId="5" fillId="0" borderId="9" pivotButton="0" quotePrefix="0" xfId="0"/>
    <xf numFmtId="0" fontId="24" fillId="0" borderId="27" applyAlignment="1" pivotButton="0" quotePrefix="0" xfId="0">
      <alignment horizontal="left"/>
    </xf>
    <xf numFmtId="0" fontId="5" fillId="0" borderId="27" pivotButton="0" quotePrefix="0" xfId="0"/>
    <xf numFmtId="0" fontId="24" fillId="0" borderId="0" applyAlignment="1" pivotButton="0" quotePrefix="0" xfId="0">
      <alignment horizontal="left"/>
    </xf>
    <xf numFmtId="0" fontId="22" fillId="0" borderId="17" applyAlignment="1" pivotButton="0" quotePrefix="0" xfId="0">
      <alignment horizontal="left"/>
    </xf>
    <xf numFmtId="0" fontId="23" fillId="2" borderId="26" applyAlignment="1" pivotButton="0" quotePrefix="0" xfId="0">
      <alignment horizontal="center" vertical="center"/>
    </xf>
    <xf numFmtId="0" fontId="24" fillId="0" borderId="27" applyAlignment="1" pivotButton="0" quotePrefix="0" xfId="0">
      <alignment horizontal="left" vertical="center"/>
    </xf>
    <xf numFmtId="0" fontId="5" fillId="0" borderId="27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165" fontId="22" fillId="5" borderId="24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14" fillId="6" borderId="1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4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26" applyAlignment="1" pivotButton="0" quotePrefix="0" xfId="0">
      <alignment horizontal="center" vertical="center"/>
    </xf>
    <xf numFmtId="0" fontId="0" fillId="0" borderId="26" pivotButton="0" quotePrefix="0" xfId="0"/>
    <xf numFmtId="0" fontId="2" fillId="0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7" fillId="2" borderId="11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2" fillId="5" borderId="1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15" fillId="0" borderId="1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6" pivotButton="0" quotePrefix="0" xfId="0"/>
    <xf numFmtId="0" fontId="6" fillId="2" borderId="11" applyAlignment="1" pivotButton="0" quotePrefix="0" xfId="0">
      <alignment horizontal="left" vertical="center"/>
    </xf>
    <xf numFmtId="0" fontId="16" fillId="2" borderId="11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0" fontId="10" fillId="2" borderId="26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0" fillId="0" borderId="21" pivotButton="0" quotePrefix="0" xfId="0"/>
    <xf numFmtId="0" fontId="10" fillId="2" borderId="3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/>
    </xf>
    <xf numFmtId="0" fontId="13" fillId="0" borderId="18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15" fillId="0" borderId="12" applyAlignment="1" pivotButton="0" quotePrefix="0" xfId="0">
      <alignment horizontal="left"/>
    </xf>
    <xf numFmtId="0" fontId="15" fillId="0" borderId="18" applyAlignment="1" pivotButton="0" quotePrefix="0" xfId="0">
      <alignment horizontal="left"/>
    </xf>
    <xf numFmtId="0" fontId="15" fillId="0" borderId="12" applyAlignment="1" pivotButton="0" quotePrefix="0" xfId="0">
      <alignment horizontal="left" vertical="center"/>
    </xf>
    <xf numFmtId="0" fontId="22" fillId="0" borderId="18" applyAlignment="1" pivotButton="0" quotePrefix="0" xfId="0">
      <alignment horizontal="left" vertical="center"/>
    </xf>
    <xf numFmtId="0" fontId="0" fillId="0" borderId="27" pivotButton="0" quotePrefix="0" xfId="0"/>
    <xf numFmtId="0" fontId="24" fillId="0" borderId="11" applyAlignment="1" pivotButton="0" quotePrefix="0" xfId="0">
      <alignment horizontal="left" vertical="center"/>
    </xf>
    <xf numFmtId="0" fontId="10" fillId="2" borderId="26" applyAlignment="1" pivotButton="0" quotePrefix="0" xfId="0">
      <alignment horizontal="center"/>
    </xf>
    <xf numFmtId="0" fontId="24" fillId="0" borderId="11" applyAlignment="1" pivotButton="0" quotePrefix="0" xfId="0">
      <alignment horizontal="left"/>
    </xf>
    <xf numFmtId="0" fontId="22" fillId="0" borderId="18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None</author>
  </authors>
  <commentList>
    <comment ref="A8" authorId="0" shapeId="0">
      <text>
        <t>Daniel van der Heyden:
Full Address including State and postcode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247650</colOff>
      <row>1</row>
      <rowOff>19050</rowOff>
    </from>
    <ext cx="4048125" cy="14001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J23"/>
  <sheetViews>
    <sheetView showGridLines="0" zoomScale="60" zoomScaleNormal="60" workbookViewId="0">
      <pane xSplit="13" ySplit="23" topLeftCell="N35" activePane="bottomRight" state="frozen"/>
      <selection pane="topRight" activeCell="N1" sqref="N1"/>
      <selection pane="bottomLeft" activeCell="A24" sqref="A24"/>
      <selection pane="bottomRight" activeCell="N35" sqref="N35"/>
    </sheetView>
  </sheetViews>
  <sheetFormatPr baseColWidth="10" defaultColWidth="14.453125" defaultRowHeight="15" customHeight="1"/>
  <cols>
    <col width="8.6328125" customWidth="1" style="89" min="1" max="26"/>
  </cols>
  <sheetData>
    <row r="1" ht="14.25" customHeight="1" s="89"/>
    <row r="2" ht="14.25" customHeight="1" s="89"/>
    <row r="3" ht="14.25" customHeight="1" s="89"/>
    <row r="4" ht="14.25" customHeight="1" s="89"/>
    <row r="5" ht="14.25" customHeight="1" s="89"/>
    <row r="6" ht="14.25" customHeight="1" s="89"/>
    <row r="7" ht="14.25" customHeight="1" s="89"/>
    <row r="8" ht="14.25" customHeight="1" s="89"/>
    <row r="9" ht="14.25" customHeight="1" s="89"/>
    <row r="10" ht="14.25" customHeight="1" s="89"/>
    <row r="11" ht="14.25" customHeight="1" s="89"/>
    <row r="12" ht="31" customHeight="1" s="89">
      <c r="A12" s="156" t="inlineStr">
        <is>
          <t>Tax Deductions - Individual</t>
        </is>
      </c>
    </row>
    <row r="13" ht="14.25" customHeight="1" s="89"/>
    <row r="14" ht="14.25" customHeight="1" s="89"/>
    <row r="15" ht="14.25" customHeight="1" s="89"/>
    <row r="16" ht="14.25" customHeight="1" s="89"/>
    <row r="17" ht="14.25" customHeight="1" s="89"/>
    <row r="18" ht="14.25" customHeight="1" s="89">
      <c r="A18" s="157" t="inlineStr">
        <is>
          <t>Got questions? Contact us on wegotyou@theaccountingacademy.com.au</t>
        </is>
      </c>
    </row>
    <row r="19" ht="14.25" customHeight="1" s="89"/>
    <row r="20" ht="14.25" customHeight="1" s="89"/>
    <row r="21" ht="14.25" customHeight="1" s="89"/>
    <row r="22" ht="14.25" customHeight="1" s="89">
      <c r="B22" s="1" t="inlineStr">
        <is>
          <t>© 2025 The Accounting Academy. All rights reserved.</t>
        </is>
      </c>
    </row>
    <row r="23" ht="14.25" customHeight="1" s="89">
      <c r="B23" s="1" t="inlineStr">
        <is>
          <t>This workpaper is for educational use only and may not be copied, reproduced, or distributed without written permission.</t>
        </is>
      </c>
    </row>
    <row r="24" ht="14.25" customHeight="1" s="89"/>
    <row r="25" ht="14.25" customHeight="1" s="89"/>
    <row r="26" ht="14.25" customHeight="1" s="89"/>
    <row r="27" ht="14.25" customHeight="1" s="89"/>
    <row r="28" ht="14.25" customHeight="1" s="89"/>
    <row r="29" ht="14.25" customHeight="1" s="89"/>
    <row r="30" ht="14.25" customHeight="1" s="89"/>
    <row r="31" ht="14.25" customHeight="1" s="89"/>
    <row r="32" ht="14.25" customHeight="1" s="89"/>
    <row r="33" ht="14.25" customHeight="1" s="89"/>
    <row r="34" ht="14.25" customHeight="1" s="89"/>
    <row r="35" ht="14.25" customHeight="1" s="89"/>
    <row r="36" ht="14.25" customHeight="1" s="89"/>
    <row r="37" ht="14.25" customHeight="1" s="89"/>
    <row r="38" ht="14.25" customHeight="1" s="89"/>
    <row r="39" ht="14.25" customHeight="1" s="89"/>
    <row r="40" ht="14.25" customHeight="1" s="89"/>
    <row r="41" ht="14.25" customHeight="1" s="89"/>
    <row r="42" ht="14.25" customHeight="1" s="89"/>
    <row r="43" ht="14.25" customHeight="1" s="89"/>
    <row r="44" ht="14.25" customHeight="1" s="89"/>
    <row r="45" ht="14.25" customHeight="1" s="89"/>
    <row r="46" ht="14.25" customHeight="1" s="89"/>
    <row r="47" ht="14.25" customHeight="1" s="89"/>
    <row r="48" ht="14.25" customHeight="1" s="89"/>
    <row r="49" ht="14.25" customHeight="1" s="89"/>
    <row r="50" ht="14.25" customHeight="1" s="89"/>
    <row r="51" ht="14.25" customHeight="1" s="89"/>
    <row r="52" ht="14.25" customHeight="1" s="89"/>
    <row r="53" ht="14.25" customHeight="1" s="89"/>
    <row r="54" ht="14.25" customHeight="1" s="89"/>
    <row r="55" ht="14.25" customHeight="1" s="89"/>
    <row r="56" ht="14.25" customHeight="1" s="89"/>
    <row r="57" ht="14.25" customHeight="1" s="89"/>
    <row r="58" ht="14.25" customHeight="1" s="89"/>
    <row r="59" ht="14.25" customHeight="1" s="89"/>
    <row r="60" ht="14.25" customHeight="1" s="89"/>
    <row r="61" ht="14.25" customHeight="1" s="89"/>
    <row r="62" ht="14.25" customHeight="1" s="89"/>
    <row r="63" ht="14.25" customHeight="1" s="89"/>
    <row r="64" ht="14.25" customHeight="1" s="89"/>
    <row r="65" ht="14.25" customHeight="1" s="89"/>
    <row r="66" ht="14.25" customHeight="1" s="89"/>
    <row r="67" ht="14.25" customHeight="1" s="89"/>
    <row r="68" ht="14.25" customHeight="1" s="89"/>
    <row r="69" ht="14.25" customHeight="1" s="89"/>
    <row r="70" ht="14.25" customHeight="1" s="89"/>
    <row r="71" ht="14.25" customHeight="1" s="89"/>
    <row r="72" ht="14.25" customHeight="1" s="89"/>
    <row r="73" ht="14.25" customHeight="1" s="89"/>
    <row r="74" ht="14.25" customHeight="1" s="89"/>
    <row r="75" ht="14.25" customHeight="1" s="89"/>
    <row r="76" ht="14.25" customHeight="1" s="89"/>
    <row r="77" ht="14.25" customHeight="1" s="89"/>
    <row r="78" ht="14.25" customHeight="1" s="89"/>
    <row r="79" ht="14.25" customHeight="1" s="89"/>
    <row r="80" ht="14.25" customHeight="1" s="89"/>
    <row r="81" ht="14.25" customHeight="1" s="89"/>
    <row r="82" ht="14.25" customHeight="1" s="89"/>
    <row r="83" ht="14.25" customHeight="1" s="89"/>
    <row r="84" ht="14.25" customHeight="1" s="89"/>
    <row r="85" ht="14.25" customHeight="1" s="89"/>
    <row r="86" ht="14.25" customHeight="1" s="89"/>
    <row r="87" ht="14.25" customHeight="1" s="89"/>
    <row r="88" ht="14.25" customHeight="1" s="89"/>
    <row r="89" ht="14.25" customHeight="1" s="89"/>
    <row r="90" ht="14.25" customHeight="1" s="89"/>
    <row r="91" ht="14.25" customHeight="1" s="89"/>
    <row r="92" ht="14.25" customHeight="1" s="89"/>
    <row r="93" ht="14.25" customHeight="1" s="89"/>
    <row r="94" ht="14.25" customHeight="1" s="89"/>
    <row r="95" ht="14.25" customHeight="1" s="89"/>
    <row r="96" ht="14.25" customHeight="1" s="89"/>
    <row r="97" ht="14.25" customHeight="1" s="89"/>
    <row r="98" ht="14.25" customHeight="1" s="89"/>
    <row r="99" ht="14.25" customHeight="1" s="89"/>
    <row r="100" ht="14.25" customHeight="1" s="89"/>
    <row r="101" ht="14.25" customHeight="1" s="89"/>
    <row r="102" ht="14.25" customHeight="1" s="89"/>
    <row r="103" ht="14.25" customHeight="1" s="89"/>
    <row r="104" ht="14.25" customHeight="1" s="89"/>
    <row r="105" ht="14.25" customHeight="1" s="89"/>
    <row r="106" ht="14.25" customHeight="1" s="89"/>
    <row r="107" ht="14.25" customHeight="1" s="89"/>
    <row r="108" ht="14.25" customHeight="1" s="89"/>
    <row r="109" ht="14.25" customHeight="1" s="89"/>
    <row r="110" ht="14.25" customHeight="1" s="89"/>
    <row r="111" ht="14.25" customHeight="1" s="89"/>
    <row r="112" ht="14.25" customHeight="1" s="89"/>
    <row r="113" ht="14.25" customHeight="1" s="89"/>
    <row r="114" ht="14.25" customHeight="1" s="89"/>
    <row r="115" ht="14.25" customHeight="1" s="89"/>
    <row r="116" ht="14.25" customHeight="1" s="89"/>
    <row r="117" ht="14.25" customHeight="1" s="89"/>
    <row r="118" ht="14.25" customHeight="1" s="89"/>
    <row r="119" ht="14.25" customHeight="1" s="89"/>
    <row r="120" ht="14.25" customHeight="1" s="89"/>
    <row r="121" ht="14.25" customHeight="1" s="89"/>
    <row r="122" ht="14.25" customHeight="1" s="89"/>
    <row r="123" ht="14.25" customHeight="1" s="89"/>
    <row r="124" ht="14.25" customHeight="1" s="89"/>
    <row r="125" ht="14.25" customHeight="1" s="89"/>
    <row r="126" ht="14.25" customHeight="1" s="89"/>
    <row r="127" ht="14.25" customHeight="1" s="89"/>
    <row r="128" ht="14.25" customHeight="1" s="89"/>
    <row r="129" ht="14.25" customHeight="1" s="89"/>
    <row r="130" ht="14.25" customHeight="1" s="89"/>
    <row r="131" ht="14.25" customHeight="1" s="89"/>
    <row r="132" ht="14.25" customHeight="1" s="89"/>
    <row r="133" ht="14.25" customHeight="1" s="89"/>
    <row r="134" ht="14.25" customHeight="1" s="89"/>
    <row r="135" ht="14.25" customHeight="1" s="89"/>
    <row r="136" ht="14.25" customHeight="1" s="89"/>
    <row r="137" ht="14.25" customHeight="1" s="89"/>
    <row r="138" ht="14.25" customHeight="1" s="89"/>
    <row r="139" ht="14.25" customHeight="1" s="89"/>
    <row r="140" ht="14.25" customHeight="1" s="89"/>
    <row r="141" ht="14.25" customHeight="1" s="89"/>
    <row r="142" ht="14.25" customHeight="1" s="89"/>
    <row r="143" ht="14.25" customHeight="1" s="89"/>
    <row r="144" ht="14.25" customHeight="1" s="89"/>
    <row r="145" ht="14.25" customHeight="1" s="89"/>
    <row r="146" ht="14.25" customHeight="1" s="89"/>
    <row r="147" ht="14.25" customHeight="1" s="89"/>
    <row r="148" ht="14.25" customHeight="1" s="89"/>
    <row r="149" ht="14.25" customHeight="1" s="89"/>
    <row r="150" ht="14.25" customHeight="1" s="89"/>
    <row r="151" ht="14.25" customHeight="1" s="89"/>
    <row r="152" ht="14.25" customHeight="1" s="89"/>
    <row r="153" ht="14.25" customHeight="1" s="89"/>
    <row r="154" ht="14.25" customHeight="1" s="89"/>
    <row r="155" ht="14.25" customHeight="1" s="89"/>
    <row r="156" ht="14.25" customHeight="1" s="89"/>
    <row r="157" ht="14.25" customHeight="1" s="89"/>
    <row r="158" ht="14.25" customHeight="1" s="89"/>
    <row r="159" ht="14.25" customHeight="1" s="89"/>
    <row r="160" ht="14.25" customHeight="1" s="89"/>
    <row r="161" ht="14.25" customHeight="1" s="89"/>
    <row r="162" ht="14.25" customHeight="1" s="89"/>
    <row r="163" ht="14.25" customHeight="1" s="89"/>
    <row r="164" ht="14.25" customHeight="1" s="89"/>
    <row r="165" ht="14.25" customHeight="1" s="89"/>
    <row r="166" ht="14.25" customHeight="1" s="89"/>
    <row r="167" ht="14.25" customHeight="1" s="89"/>
    <row r="168" ht="14.25" customHeight="1" s="89"/>
    <row r="169" ht="14.25" customHeight="1" s="89"/>
    <row r="170" ht="14.25" customHeight="1" s="89"/>
    <row r="171" ht="14.25" customHeight="1" s="89"/>
    <row r="172" ht="14.25" customHeight="1" s="89"/>
    <row r="173" ht="14.25" customHeight="1" s="89"/>
    <row r="174" ht="14.25" customHeight="1" s="89"/>
    <row r="175" ht="14.25" customHeight="1" s="89"/>
    <row r="176" ht="14.25" customHeight="1" s="89"/>
    <row r="177" ht="14.25" customHeight="1" s="89"/>
    <row r="178" ht="14.25" customHeight="1" s="89"/>
    <row r="179" ht="14.25" customHeight="1" s="89"/>
    <row r="180" ht="14.25" customHeight="1" s="89"/>
    <row r="181" ht="14.25" customHeight="1" s="89"/>
    <row r="182" ht="14.25" customHeight="1" s="89"/>
    <row r="183" ht="14.25" customHeight="1" s="89"/>
    <row r="184" ht="14.25" customHeight="1" s="89"/>
    <row r="185" ht="14.25" customHeight="1" s="89"/>
    <row r="186" ht="14.25" customHeight="1" s="89"/>
    <row r="187" ht="14.25" customHeight="1" s="89"/>
    <row r="188" ht="14.25" customHeight="1" s="89"/>
    <row r="189" ht="14.25" customHeight="1" s="89"/>
    <row r="190" ht="14.25" customHeight="1" s="89"/>
    <row r="191" ht="14.25" customHeight="1" s="89"/>
    <row r="192" ht="14.25" customHeight="1" s="89"/>
    <row r="193" ht="14.25" customHeight="1" s="89"/>
    <row r="194" ht="14.25" customHeight="1" s="89"/>
    <row r="195" ht="14.25" customHeight="1" s="89"/>
    <row r="196" ht="14.25" customHeight="1" s="89"/>
    <row r="197" ht="14.25" customHeight="1" s="89"/>
    <row r="198" ht="14.25" customHeight="1" s="89"/>
    <row r="199" ht="14.25" customHeight="1" s="89"/>
    <row r="200" ht="14.25" customHeight="1" s="89"/>
    <row r="201" ht="14.25" customHeight="1" s="89"/>
    <row r="202" ht="14.25" customHeight="1" s="89"/>
    <row r="203" ht="14.25" customHeight="1" s="89"/>
    <row r="204" ht="14.25" customHeight="1" s="89"/>
    <row r="205" ht="14.25" customHeight="1" s="89"/>
    <row r="206" ht="14.25" customHeight="1" s="89"/>
    <row r="207" ht="14.25" customHeight="1" s="89"/>
    <row r="208" ht="14.25" customHeight="1" s="89"/>
    <row r="209" ht="14.25" customHeight="1" s="89"/>
    <row r="210" ht="14.25" customHeight="1" s="89"/>
    <row r="211" ht="14.25" customHeight="1" s="89"/>
    <row r="212" ht="14.25" customHeight="1" s="89"/>
    <row r="213" ht="14.25" customHeight="1" s="89"/>
    <row r="214" ht="14.25" customHeight="1" s="89"/>
    <row r="215" ht="14.25" customHeight="1" s="89"/>
    <row r="216" ht="14.25" customHeight="1" s="89"/>
    <row r="217" ht="14.25" customHeight="1" s="89"/>
    <row r="218" ht="14.25" customHeight="1" s="89"/>
    <row r="219" ht="14.25" customHeight="1" s="89"/>
    <row r="220" ht="14.25" customHeight="1" s="89"/>
    <row r="221" ht="14.25" customHeight="1" s="89"/>
    <row r="222" ht="14.25" customHeight="1" s="89"/>
    <row r="223" ht="14.25" customHeight="1" s="89"/>
    <row r="224" ht="14.25" customHeight="1" s="89"/>
    <row r="225" ht="14.25" customHeight="1" s="89"/>
    <row r="226" ht="14.25" customHeight="1" s="89"/>
    <row r="227" ht="14.25" customHeight="1" s="89"/>
    <row r="228" ht="14.25" customHeight="1" s="89"/>
    <row r="229" ht="14.25" customHeight="1" s="89"/>
    <row r="230" ht="14.25" customHeight="1" s="89"/>
    <row r="231" ht="14.25" customHeight="1" s="89"/>
    <row r="232" ht="14.25" customHeight="1" s="89"/>
    <row r="233" ht="14.25" customHeight="1" s="89"/>
    <row r="234" ht="14.25" customHeight="1" s="89"/>
    <row r="235" ht="14.25" customHeight="1" s="89"/>
    <row r="236" ht="14.25" customHeight="1" s="89"/>
    <row r="237" ht="14.25" customHeight="1" s="89"/>
    <row r="238" ht="14.25" customHeight="1" s="89"/>
    <row r="239" ht="14.25" customHeight="1" s="89"/>
    <row r="240" ht="14.25" customHeight="1" s="89"/>
    <row r="241" ht="14.25" customHeight="1" s="89"/>
    <row r="242" ht="14.25" customHeight="1" s="89"/>
    <row r="243" ht="14.25" customHeight="1" s="89"/>
    <row r="244" ht="14.25" customHeight="1" s="89"/>
    <row r="245" ht="14.25" customHeight="1" s="89"/>
    <row r="246" ht="14.25" customHeight="1" s="89"/>
    <row r="247" ht="14.25" customHeight="1" s="89"/>
    <row r="248" ht="14.25" customHeight="1" s="89"/>
    <row r="249" ht="14.25" customHeight="1" s="89"/>
    <row r="250" ht="14.25" customHeight="1" s="89"/>
    <row r="251" ht="14.25" customHeight="1" s="89"/>
    <row r="252" ht="14.25" customHeight="1" s="89"/>
    <row r="253" ht="14.25" customHeight="1" s="89"/>
    <row r="254" ht="14.25" customHeight="1" s="89"/>
    <row r="255" ht="14.25" customHeight="1" s="89"/>
    <row r="256" ht="14.25" customHeight="1" s="89"/>
    <row r="257" ht="14.25" customHeight="1" s="89"/>
    <row r="258" ht="14.25" customHeight="1" s="89"/>
    <row r="259" ht="14.25" customHeight="1" s="89"/>
    <row r="260" ht="14.25" customHeight="1" s="89"/>
    <row r="261" ht="14.25" customHeight="1" s="89"/>
    <row r="262" ht="14.25" customHeight="1" s="89"/>
    <row r="263" ht="14.25" customHeight="1" s="89"/>
    <row r="264" ht="14.25" customHeight="1" s="89"/>
    <row r="265" ht="14.25" customHeight="1" s="89"/>
    <row r="266" ht="14.25" customHeight="1" s="89"/>
    <row r="267" ht="14.25" customHeight="1" s="89"/>
    <row r="268" ht="14.25" customHeight="1" s="89"/>
    <row r="269" ht="14.25" customHeight="1" s="89"/>
    <row r="270" ht="14.25" customHeight="1" s="89"/>
    <row r="271" ht="14.25" customHeight="1" s="89"/>
    <row r="272" ht="14.25" customHeight="1" s="89"/>
    <row r="273" ht="14.25" customHeight="1" s="89"/>
    <row r="274" ht="14.25" customHeight="1" s="89"/>
    <row r="275" ht="14.25" customHeight="1" s="89"/>
    <row r="276" ht="14.25" customHeight="1" s="89"/>
    <row r="277" ht="14.25" customHeight="1" s="89"/>
    <row r="278" ht="14.25" customHeight="1" s="89"/>
    <row r="279" ht="14.25" customHeight="1" s="89"/>
    <row r="280" ht="14.25" customHeight="1" s="89"/>
    <row r="281" ht="14.25" customHeight="1" s="89"/>
    <row r="282" ht="14.25" customHeight="1" s="89"/>
    <row r="283" ht="14.25" customHeight="1" s="89"/>
    <row r="284" ht="14.25" customHeight="1" s="89"/>
    <row r="285" ht="14.25" customHeight="1" s="89"/>
    <row r="286" ht="14.25" customHeight="1" s="89"/>
    <row r="287" ht="14.25" customHeight="1" s="89"/>
    <row r="288" ht="14.25" customHeight="1" s="89"/>
    <row r="289" ht="14.25" customHeight="1" s="89"/>
    <row r="290" ht="14.25" customHeight="1" s="89"/>
    <row r="291" ht="14.25" customHeight="1" s="89"/>
    <row r="292" ht="14.25" customHeight="1" s="89"/>
    <row r="293" ht="14.25" customHeight="1" s="89"/>
    <row r="294" ht="14.25" customHeight="1" s="89"/>
    <row r="295" ht="14.25" customHeight="1" s="89"/>
    <row r="296" ht="14.25" customHeight="1" s="89"/>
    <row r="297" ht="14.25" customHeight="1" s="89"/>
    <row r="298" ht="14.25" customHeight="1" s="89"/>
    <row r="299" ht="14.25" customHeight="1" s="89"/>
    <row r="300" ht="14.25" customHeight="1" s="89"/>
    <row r="301" ht="14.25" customHeight="1" s="89"/>
    <row r="302" ht="14.25" customHeight="1" s="89"/>
    <row r="303" ht="14.25" customHeight="1" s="89"/>
    <row r="304" ht="14.25" customHeight="1" s="89"/>
    <row r="305" ht="14.25" customHeight="1" s="89"/>
    <row r="306" ht="14.25" customHeight="1" s="89"/>
    <row r="307" ht="14.25" customHeight="1" s="89"/>
    <row r="308" ht="14.25" customHeight="1" s="89"/>
    <row r="309" ht="14.25" customHeight="1" s="89"/>
    <row r="310" ht="14.25" customHeight="1" s="89"/>
    <row r="311" ht="14.25" customHeight="1" s="89"/>
    <row r="312" ht="14.25" customHeight="1" s="89"/>
    <row r="313" ht="14.25" customHeight="1" s="89"/>
    <row r="314" ht="14.25" customHeight="1" s="89"/>
    <row r="315" ht="14.25" customHeight="1" s="89"/>
    <row r="316" ht="14.25" customHeight="1" s="89"/>
    <row r="317" ht="14.25" customHeight="1" s="89"/>
    <row r="318" ht="14.25" customHeight="1" s="89"/>
    <row r="319" ht="14.25" customHeight="1" s="89"/>
    <row r="320" ht="14.25" customHeight="1" s="89"/>
    <row r="321" ht="14.25" customHeight="1" s="89"/>
    <row r="322" ht="14.25" customHeight="1" s="89"/>
    <row r="323" ht="14.25" customHeight="1" s="89"/>
    <row r="324" ht="14.25" customHeight="1" s="89"/>
    <row r="325" ht="14.25" customHeight="1" s="89"/>
    <row r="326" ht="14.25" customHeight="1" s="89"/>
    <row r="327" ht="14.25" customHeight="1" s="89"/>
    <row r="328" ht="14.25" customHeight="1" s="89"/>
    <row r="329" ht="14.25" customHeight="1" s="89"/>
    <row r="330" ht="14.25" customHeight="1" s="89"/>
    <row r="331" ht="14.25" customHeight="1" s="89"/>
    <row r="332" ht="14.25" customHeight="1" s="89"/>
    <row r="333" ht="14.25" customHeight="1" s="89"/>
    <row r="334" ht="14.25" customHeight="1" s="89"/>
    <row r="335" ht="14.25" customHeight="1" s="89"/>
    <row r="336" ht="14.25" customHeight="1" s="89"/>
    <row r="337" ht="14.25" customHeight="1" s="89"/>
    <row r="338" ht="14.25" customHeight="1" s="89"/>
    <row r="339" ht="14.25" customHeight="1" s="89"/>
    <row r="340" ht="14.25" customHeight="1" s="89"/>
    <row r="341" ht="14.25" customHeight="1" s="89"/>
    <row r="342" ht="14.25" customHeight="1" s="89"/>
    <row r="343" ht="14.25" customHeight="1" s="89"/>
    <row r="344" ht="14.25" customHeight="1" s="89"/>
    <row r="345" ht="14.25" customHeight="1" s="89"/>
    <row r="346" ht="14.25" customHeight="1" s="89"/>
    <row r="347" ht="14.25" customHeight="1" s="89"/>
    <row r="348" ht="14.25" customHeight="1" s="89"/>
    <row r="349" ht="14.25" customHeight="1" s="89"/>
    <row r="350" ht="14.25" customHeight="1" s="89"/>
    <row r="351" ht="14.25" customHeight="1" s="89"/>
    <row r="352" ht="14.25" customHeight="1" s="89"/>
    <row r="353" ht="14.25" customHeight="1" s="89"/>
    <row r="354" ht="14.25" customHeight="1" s="89"/>
    <row r="355" ht="14.25" customHeight="1" s="89"/>
    <row r="356" ht="14.25" customHeight="1" s="89"/>
    <row r="357" ht="14.25" customHeight="1" s="89"/>
    <row r="358" ht="14.25" customHeight="1" s="89"/>
    <row r="359" ht="14.25" customHeight="1" s="89"/>
    <row r="360" ht="14.25" customHeight="1" s="89"/>
    <row r="361" ht="14.25" customHeight="1" s="89"/>
    <row r="362" ht="14.25" customHeight="1" s="89"/>
    <row r="363" ht="14.25" customHeight="1" s="89"/>
    <row r="364" ht="14.25" customHeight="1" s="89"/>
    <row r="365" ht="14.25" customHeight="1" s="89"/>
    <row r="366" ht="14.25" customHeight="1" s="89"/>
    <row r="367" ht="14.25" customHeight="1" s="89"/>
    <row r="368" ht="14.25" customHeight="1" s="89"/>
    <row r="369" ht="14.25" customHeight="1" s="89"/>
    <row r="370" ht="14.25" customHeight="1" s="89"/>
    <row r="371" ht="14.25" customHeight="1" s="89"/>
    <row r="372" ht="14.25" customHeight="1" s="89"/>
    <row r="373" ht="14.25" customHeight="1" s="89"/>
    <row r="374" ht="14.25" customHeight="1" s="89"/>
    <row r="375" ht="14.25" customHeight="1" s="89"/>
    <row r="376" ht="14.25" customHeight="1" s="89"/>
    <row r="377" ht="14.25" customHeight="1" s="89"/>
    <row r="378" ht="14.25" customHeight="1" s="89"/>
    <row r="379" ht="14.25" customHeight="1" s="89"/>
    <row r="380" ht="14.25" customHeight="1" s="89"/>
    <row r="381" ht="14.25" customHeight="1" s="89"/>
    <row r="382" ht="14.25" customHeight="1" s="89"/>
    <row r="383" ht="14.25" customHeight="1" s="89"/>
    <row r="384" ht="14.25" customHeight="1" s="89"/>
    <row r="385" ht="14.25" customHeight="1" s="89"/>
    <row r="386" ht="14.25" customHeight="1" s="89"/>
    <row r="387" ht="14.25" customHeight="1" s="89"/>
    <row r="388" ht="14.25" customHeight="1" s="89"/>
    <row r="389" ht="14.25" customHeight="1" s="89"/>
    <row r="390" ht="14.25" customHeight="1" s="89"/>
    <row r="391" ht="14.25" customHeight="1" s="89"/>
    <row r="392" ht="14.25" customHeight="1" s="89"/>
    <row r="393" ht="14.25" customHeight="1" s="89"/>
    <row r="394" ht="14.25" customHeight="1" s="89"/>
    <row r="395" ht="14.25" customHeight="1" s="89"/>
    <row r="396" ht="14.25" customHeight="1" s="89"/>
    <row r="397" ht="14.25" customHeight="1" s="89"/>
    <row r="398" ht="14.25" customHeight="1" s="89"/>
    <row r="399" ht="14.25" customHeight="1" s="89"/>
    <row r="400" ht="14.25" customHeight="1" s="89"/>
    <row r="401" ht="14.25" customHeight="1" s="89"/>
    <row r="402" ht="14.25" customHeight="1" s="89"/>
    <row r="403" ht="14.25" customHeight="1" s="89"/>
    <row r="404" ht="14.25" customHeight="1" s="89"/>
    <row r="405" ht="14.25" customHeight="1" s="89"/>
    <row r="406" ht="14.25" customHeight="1" s="89"/>
    <row r="407" ht="14.25" customHeight="1" s="89"/>
    <row r="408" ht="14.25" customHeight="1" s="89"/>
    <row r="409" ht="14.25" customHeight="1" s="89"/>
    <row r="410" ht="14.25" customHeight="1" s="89"/>
    <row r="411" ht="14.25" customHeight="1" s="89"/>
    <row r="412" ht="14.25" customHeight="1" s="89"/>
    <row r="413" ht="14.25" customHeight="1" s="89"/>
    <row r="414" ht="14.25" customHeight="1" s="89"/>
    <row r="415" ht="14.25" customHeight="1" s="89"/>
    <row r="416" ht="14.25" customHeight="1" s="89"/>
    <row r="417" ht="14.25" customHeight="1" s="89"/>
    <row r="418" ht="14.25" customHeight="1" s="89"/>
    <row r="419" ht="14.25" customHeight="1" s="89"/>
    <row r="420" ht="14.25" customHeight="1" s="89"/>
    <row r="421" ht="14.25" customHeight="1" s="89"/>
    <row r="422" ht="14.25" customHeight="1" s="89"/>
    <row r="423" ht="14.25" customHeight="1" s="89"/>
    <row r="424" ht="14.25" customHeight="1" s="89"/>
    <row r="425" ht="14.25" customHeight="1" s="89"/>
    <row r="426" ht="14.25" customHeight="1" s="89"/>
    <row r="427" ht="14.25" customHeight="1" s="89"/>
    <row r="428" ht="14.25" customHeight="1" s="89"/>
    <row r="429" ht="14.25" customHeight="1" s="89"/>
    <row r="430" ht="14.25" customHeight="1" s="89"/>
    <row r="431" ht="14.25" customHeight="1" s="89"/>
    <row r="432" ht="14.25" customHeight="1" s="89"/>
    <row r="433" ht="14.25" customHeight="1" s="89"/>
    <row r="434" ht="14.25" customHeight="1" s="89"/>
    <row r="435" ht="14.25" customHeight="1" s="89"/>
    <row r="436" ht="14.25" customHeight="1" s="89"/>
    <row r="437" ht="14.25" customHeight="1" s="89"/>
    <row r="438" ht="14.25" customHeight="1" s="89"/>
    <row r="439" ht="14.25" customHeight="1" s="89"/>
    <row r="440" ht="14.25" customHeight="1" s="89"/>
    <row r="441" ht="14.25" customHeight="1" s="89"/>
    <row r="442" ht="14.25" customHeight="1" s="89"/>
    <row r="443" ht="14.25" customHeight="1" s="89"/>
    <row r="444" ht="14.25" customHeight="1" s="89"/>
    <row r="445" ht="14.25" customHeight="1" s="89"/>
    <row r="446" ht="14.25" customHeight="1" s="89"/>
    <row r="447" ht="14.25" customHeight="1" s="89"/>
    <row r="448" ht="14.25" customHeight="1" s="89"/>
    <row r="449" ht="14.25" customHeight="1" s="89"/>
    <row r="450" ht="14.25" customHeight="1" s="89"/>
    <row r="451" ht="14.25" customHeight="1" s="89"/>
    <row r="452" ht="14.25" customHeight="1" s="89"/>
    <row r="453" ht="14.25" customHeight="1" s="89"/>
    <row r="454" ht="14.25" customHeight="1" s="89"/>
    <row r="455" ht="14.25" customHeight="1" s="89"/>
    <row r="456" ht="14.25" customHeight="1" s="89"/>
    <row r="457" ht="14.25" customHeight="1" s="89"/>
    <row r="458" ht="14.25" customHeight="1" s="89"/>
    <row r="459" ht="14.25" customHeight="1" s="89"/>
    <row r="460" ht="14.25" customHeight="1" s="89"/>
    <row r="461" ht="14.25" customHeight="1" s="89"/>
    <row r="462" ht="14.25" customHeight="1" s="89"/>
    <row r="463" ht="14.25" customHeight="1" s="89"/>
    <row r="464" ht="14.25" customHeight="1" s="89"/>
    <row r="465" ht="14.25" customHeight="1" s="89"/>
    <row r="466" ht="14.25" customHeight="1" s="89"/>
    <row r="467" ht="14.25" customHeight="1" s="89"/>
    <row r="468" ht="14.25" customHeight="1" s="89"/>
    <row r="469" ht="14.25" customHeight="1" s="89"/>
    <row r="470" ht="14.25" customHeight="1" s="89"/>
    <row r="471" ht="14.25" customHeight="1" s="89"/>
    <row r="472" ht="14.25" customHeight="1" s="89"/>
    <row r="473" ht="14.25" customHeight="1" s="89"/>
    <row r="474" ht="14.25" customHeight="1" s="89"/>
    <row r="475" ht="14.25" customHeight="1" s="89"/>
    <row r="476" ht="14.25" customHeight="1" s="89"/>
    <row r="477" ht="14.25" customHeight="1" s="89"/>
    <row r="478" ht="14.25" customHeight="1" s="89"/>
    <row r="479" ht="14.25" customHeight="1" s="89"/>
    <row r="480" ht="14.25" customHeight="1" s="89"/>
    <row r="481" ht="14.25" customHeight="1" s="89"/>
    <row r="482" ht="14.25" customHeight="1" s="89"/>
    <row r="483" ht="14.25" customHeight="1" s="89"/>
    <row r="484" ht="14.25" customHeight="1" s="89"/>
    <row r="485" ht="14.25" customHeight="1" s="89"/>
    <row r="486" ht="14.25" customHeight="1" s="89"/>
    <row r="487" ht="14.25" customHeight="1" s="89"/>
    <row r="488" ht="14.25" customHeight="1" s="89"/>
    <row r="489" ht="14.25" customHeight="1" s="89"/>
    <row r="490" ht="14.25" customHeight="1" s="89"/>
    <row r="491" ht="14.25" customHeight="1" s="89"/>
    <row r="492" ht="14.25" customHeight="1" s="89"/>
    <row r="493" ht="14.25" customHeight="1" s="89"/>
    <row r="494" ht="14.25" customHeight="1" s="89"/>
    <row r="495" ht="14.25" customHeight="1" s="89"/>
    <row r="496" ht="14.25" customHeight="1" s="89"/>
    <row r="497" ht="14.25" customHeight="1" s="89"/>
    <row r="498" ht="14.25" customHeight="1" s="89"/>
    <row r="499" ht="14.25" customHeight="1" s="89"/>
    <row r="500" ht="14.25" customHeight="1" s="89"/>
    <row r="501" ht="14.25" customHeight="1" s="89"/>
    <row r="502" ht="14.25" customHeight="1" s="89"/>
    <row r="503" ht="14.25" customHeight="1" s="89"/>
    <row r="504" ht="14.25" customHeight="1" s="89"/>
    <row r="505" ht="14.25" customHeight="1" s="89"/>
    <row r="506" ht="14.25" customHeight="1" s="89"/>
    <row r="507" ht="14.25" customHeight="1" s="89"/>
    <row r="508" ht="14.25" customHeight="1" s="89"/>
    <row r="509" ht="14.25" customHeight="1" s="89"/>
    <row r="510" ht="14.25" customHeight="1" s="89"/>
    <row r="511" ht="14.25" customHeight="1" s="89"/>
    <row r="512" ht="14.25" customHeight="1" s="89"/>
    <row r="513" ht="14.25" customHeight="1" s="89"/>
    <row r="514" ht="14.25" customHeight="1" s="89"/>
    <row r="515" ht="14.25" customHeight="1" s="89"/>
    <row r="516" ht="14.25" customHeight="1" s="89"/>
    <row r="517" ht="14.25" customHeight="1" s="89"/>
    <row r="518" ht="14.25" customHeight="1" s="89"/>
    <row r="519" ht="14.25" customHeight="1" s="89"/>
    <row r="520" ht="14.25" customHeight="1" s="89"/>
    <row r="521" ht="14.25" customHeight="1" s="89"/>
    <row r="522" ht="14.25" customHeight="1" s="89"/>
    <row r="523" ht="14.25" customHeight="1" s="89"/>
    <row r="524" ht="14.25" customHeight="1" s="89"/>
    <row r="525" ht="14.25" customHeight="1" s="89"/>
    <row r="526" ht="14.25" customHeight="1" s="89"/>
    <row r="527" ht="14.25" customHeight="1" s="89"/>
    <row r="528" ht="14.25" customHeight="1" s="89"/>
    <row r="529" ht="14.25" customHeight="1" s="89"/>
    <row r="530" ht="14.25" customHeight="1" s="89"/>
    <row r="531" ht="14.25" customHeight="1" s="89"/>
    <row r="532" ht="14.25" customHeight="1" s="89"/>
    <row r="533" ht="14.25" customHeight="1" s="89"/>
    <row r="534" ht="14.25" customHeight="1" s="89"/>
    <row r="535" ht="14.25" customHeight="1" s="89"/>
    <row r="536" ht="14.25" customHeight="1" s="89"/>
    <row r="537" ht="14.25" customHeight="1" s="89"/>
    <row r="538" ht="14.25" customHeight="1" s="89"/>
    <row r="539" ht="14.25" customHeight="1" s="89"/>
    <row r="540" ht="14.25" customHeight="1" s="89"/>
    <row r="541" ht="14.25" customHeight="1" s="89"/>
    <row r="542" ht="14.25" customHeight="1" s="89"/>
    <row r="543" ht="14.25" customHeight="1" s="89"/>
    <row r="544" ht="14.25" customHeight="1" s="89"/>
    <row r="545" ht="14.25" customHeight="1" s="89"/>
    <row r="546" ht="14.25" customHeight="1" s="89"/>
    <row r="547" ht="14.25" customHeight="1" s="89"/>
    <row r="548" ht="14.25" customHeight="1" s="89"/>
    <row r="549" ht="14.25" customHeight="1" s="89"/>
    <row r="550" ht="14.25" customHeight="1" s="89"/>
    <row r="551" ht="14.25" customHeight="1" s="89"/>
    <row r="552" ht="14.25" customHeight="1" s="89"/>
    <row r="553" ht="14.25" customHeight="1" s="89"/>
    <row r="554" ht="14.25" customHeight="1" s="89"/>
    <row r="555" ht="14.25" customHeight="1" s="89"/>
    <row r="556" ht="14.25" customHeight="1" s="89"/>
    <row r="557" ht="14.25" customHeight="1" s="89"/>
    <row r="558" ht="14.25" customHeight="1" s="89"/>
    <row r="559" ht="14.25" customHeight="1" s="89"/>
    <row r="560" ht="14.25" customHeight="1" s="89"/>
    <row r="561" ht="14.25" customHeight="1" s="89"/>
    <row r="562" ht="14.25" customHeight="1" s="89"/>
    <row r="563" ht="14.25" customHeight="1" s="89"/>
    <row r="564" ht="14.25" customHeight="1" s="89"/>
    <row r="565" ht="14.25" customHeight="1" s="89"/>
    <row r="566" ht="14.25" customHeight="1" s="89"/>
    <row r="567" ht="14.25" customHeight="1" s="89"/>
    <row r="568" ht="14.25" customHeight="1" s="89"/>
    <row r="569" ht="14.25" customHeight="1" s="89"/>
    <row r="570" ht="14.25" customHeight="1" s="89"/>
    <row r="571" ht="14.25" customHeight="1" s="89"/>
    <row r="572" ht="14.25" customHeight="1" s="89"/>
    <row r="573" ht="14.25" customHeight="1" s="89"/>
    <row r="574" ht="14.25" customHeight="1" s="89"/>
    <row r="575" ht="14.25" customHeight="1" s="89"/>
    <row r="576" ht="14.25" customHeight="1" s="89"/>
    <row r="577" ht="14.25" customHeight="1" s="89"/>
    <row r="578" ht="14.25" customHeight="1" s="89"/>
    <row r="579" ht="14.25" customHeight="1" s="89"/>
    <row r="580" ht="14.25" customHeight="1" s="89"/>
    <row r="581" ht="14.25" customHeight="1" s="89"/>
    <row r="582" ht="14.25" customHeight="1" s="89"/>
    <row r="583" ht="14.25" customHeight="1" s="89"/>
    <row r="584" ht="14.25" customHeight="1" s="89"/>
    <row r="585" ht="14.25" customHeight="1" s="89"/>
    <row r="586" ht="14.25" customHeight="1" s="89"/>
    <row r="587" ht="14.25" customHeight="1" s="89"/>
    <row r="588" ht="14.25" customHeight="1" s="89"/>
    <row r="589" ht="14.25" customHeight="1" s="89"/>
    <row r="590" ht="14.25" customHeight="1" s="89"/>
    <row r="591" ht="14.25" customHeight="1" s="89"/>
    <row r="592" ht="14.25" customHeight="1" s="89"/>
    <row r="593" ht="14.25" customHeight="1" s="89"/>
    <row r="594" ht="14.25" customHeight="1" s="89"/>
    <row r="595" ht="14.25" customHeight="1" s="89"/>
    <row r="596" ht="14.25" customHeight="1" s="89"/>
    <row r="597" ht="14.25" customHeight="1" s="89"/>
    <row r="598" ht="14.25" customHeight="1" s="89"/>
    <row r="599" ht="14.25" customHeight="1" s="89"/>
    <row r="600" ht="14.25" customHeight="1" s="89"/>
    <row r="601" ht="14.25" customHeight="1" s="89"/>
    <row r="602" ht="14.25" customHeight="1" s="89"/>
    <row r="603" ht="14.25" customHeight="1" s="89"/>
    <row r="604" ht="14.25" customHeight="1" s="89"/>
    <row r="605" ht="14.25" customHeight="1" s="89"/>
    <row r="606" ht="14.25" customHeight="1" s="89"/>
    <row r="607" ht="14.25" customHeight="1" s="89"/>
    <row r="608" ht="14.25" customHeight="1" s="89"/>
    <row r="609" ht="14.25" customHeight="1" s="89"/>
    <row r="610" ht="14.25" customHeight="1" s="89"/>
    <row r="611" ht="14.25" customHeight="1" s="89"/>
    <row r="612" ht="14.25" customHeight="1" s="89"/>
    <row r="613" ht="14.25" customHeight="1" s="89"/>
    <row r="614" ht="14.25" customHeight="1" s="89"/>
    <row r="615" ht="14.25" customHeight="1" s="89"/>
    <row r="616" ht="14.25" customHeight="1" s="89"/>
    <row r="617" ht="14.25" customHeight="1" s="89"/>
    <row r="618" ht="14.25" customHeight="1" s="89"/>
    <row r="619" ht="14.25" customHeight="1" s="89"/>
    <row r="620" ht="14.25" customHeight="1" s="89"/>
    <row r="621" ht="14.25" customHeight="1" s="89"/>
    <row r="622" ht="14.25" customHeight="1" s="89"/>
    <row r="623" ht="14.25" customHeight="1" s="89"/>
    <row r="624" ht="14.25" customHeight="1" s="89"/>
    <row r="625" ht="14.25" customHeight="1" s="89"/>
    <row r="626" ht="14.25" customHeight="1" s="89"/>
    <row r="627" ht="14.25" customHeight="1" s="89"/>
    <row r="628" ht="14.25" customHeight="1" s="89"/>
    <row r="629" ht="14.25" customHeight="1" s="89"/>
    <row r="630" ht="14.25" customHeight="1" s="89"/>
    <row r="631" ht="14.25" customHeight="1" s="89"/>
    <row r="632" ht="14.25" customHeight="1" s="89"/>
    <row r="633" ht="14.25" customHeight="1" s="89"/>
    <row r="634" ht="14.25" customHeight="1" s="89"/>
    <row r="635" ht="14.25" customHeight="1" s="89"/>
    <row r="636" ht="14.25" customHeight="1" s="89"/>
    <row r="637" ht="14.25" customHeight="1" s="89"/>
    <row r="638" ht="14.25" customHeight="1" s="89"/>
    <row r="639" ht="14.25" customHeight="1" s="89"/>
    <row r="640" ht="14.25" customHeight="1" s="89"/>
    <row r="641" ht="14.25" customHeight="1" s="89"/>
    <row r="642" ht="14.25" customHeight="1" s="89"/>
    <row r="643" ht="14.25" customHeight="1" s="89"/>
    <row r="644" ht="14.25" customHeight="1" s="89"/>
    <row r="645" ht="14.25" customHeight="1" s="89"/>
    <row r="646" ht="14.25" customHeight="1" s="89"/>
    <row r="647" ht="14.25" customHeight="1" s="89"/>
    <row r="648" ht="14.25" customHeight="1" s="89"/>
    <row r="649" ht="14.25" customHeight="1" s="89"/>
    <row r="650" ht="14.25" customHeight="1" s="89"/>
    <row r="651" ht="14.25" customHeight="1" s="89"/>
    <row r="652" ht="14.25" customHeight="1" s="89"/>
    <row r="653" ht="14.25" customHeight="1" s="89"/>
    <row r="654" ht="14.25" customHeight="1" s="89"/>
    <row r="655" ht="14.25" customHeight="1" s="89"/>
    <row r="656" ht="14.25" customHeight="1" s="89"/>
    <row r="657" ht="14.25" customHeight="1" s="89"/>
    <row r="658" ht="14.25" customHeight="1" s="89"/>
    <row r="659" ht="14.25" customHeight="1" s="89"/>
    <row r="660" ht="14.25" customHeight="1" s="89"/>
    <row r="661" ht="14.25" customHeight="1" s="89"/>
    <row r="662" ht="14.25" customHeight="1" s="89"/>
    <row r="663" ht="14.25" customHeight="1" s="89"/>
    <row r="664" ht="14.25" customHeight="1" s="89"/>
    <row r="665" ht="14.25" customHeight="1" s="89"/>
    <row r="666" ht="14.25" customHeight="1" s="89"/>
    <row r="667" ht="14.25" customHeight="1" s="89"/>
    <row r="668" ht="14.25" customHeight="1" s="89"/>
    <row r="669" ht="14.25" customHeight="1" s="89"/>
    <row r="670" ht="14.25" customHeight="1" s="89"/>
    <row r="671" ht="14.25" customHeight="1" s="89"/>
    <row r="672" ht="14.25" customHeight="1" s="89"/>
    <row r="673" ht="14.25" customHeight="1" s="89"/>
    <row r="674" ht="14.25" customHeight="1" s="89"/>
    <row r="675" ht="14.25" customHeight="1" s="89"/>
    <row r="676" ht="14.25" customHeight="1" s="89"/>
    <row r="677" ht="14.25" customHeight="1" s="89"/>
    <row r="678" ht="14.25" customHeight="1" s="89"/>
    <row r="679" ht="14.25" customHeight="1" s="89"/>
    <row r="680" ht="14.25" customHeight="1" s="89"/>
    <row r="681" ht="14.25" customHeight="1" s="89"/>
    <row r="682" ht="14.25" customHeight="1" s="89"/>
    <row r="683" ht="14.25" customHeight="1" s="89"/>
    <row r="684" ht="14.25" customHeight="1" s="89"/>
    <row r="685" ht="14.25" customHeight="1" s="89"/>
    <row r="686" ht="14.25" customHeight="1" s="89"/>
    <row r="687" ht="14.25" customHeight="1" s="89"/>
    <row r="688" ht="14.25" customHeight="1" s="89"/>
    <row r="689" ht="14.25" customHeight="1" s="89"/>
    <row r="690" ht="14.25" customHeight="1" s="89"/>
    <row r="691" ht="14.25" customHeight="1" s="89"/>
    <row r="692" ht="14.25" customHeight="1" s="89"/>
    <row r="693" ht="14.25" customHeight="1" s="89"/>
    <row r="694" ht="14.25" customHeight="1" s="89"/>
    <row r="695" ht="14.25" customHeight="1" s="89"/>
    <row r="696" ht="14.25" customHeight="1" s="89"/>
    <row r="697" ht="14.25" customHeight="1" s="89"/>
    <row r="698" ht="14.25" customHeight="1" s="89"/>
    <row r="699" ht="14.25" customHeight="1" s="89"/>
    <row r="700" ht="14.25" customHeight="1" s="89"/>
    <row r="701" ht="14.25" customHeight="1" s="89"/>
    <row r="702" ht="14.25" customHeight="1" s="89"/>
    <row r="703" ht="14.25" customHeight="1" s="89"/>
    <row r="704" ht="14.25" customHeight="1" s="89"/>
    <row r="705" ht="14.25" customHeight="1" s="89"/>
    <row r="706" ht="14.25" customHeight="1" s="89"/>
    <row r="707" ht="14.25" customHeight="1" s="89"/>
    <row r="708" ht="14.25" customHeight="1" s="89"/>
    <row r="709" ht="14.25" customHeight="1" s="89"/>
    <row r="710" ht="14.25" customHeight="1" s="89"/>
    <row r="711" ht="14.25" customHeight="1" s="89"/>
    <row r="712" ht="14.25" customHeight="1" s="89"/>
    <row r="713" ht="14.25" customHeight="1" s="89"/>
    <row r="714" ht="14.25" customHeight="1" s="89"/>
    <row r="715" ht="14.25" customHeight="1" s="89"/>
    <row r="716" ht="14.25" customHeight="1" s="89"/>
    <row r="717" ht="14.25" customHeight="1" s="89"/>
    <row r="718" ht="14.25" customHeight="1" s="89"/>
    <row r="719" ht="14.25" customHeight="1" s="89"/>
    <row r="720" ht="14.25" customHeight="1" s="89"/>
    <row r="721" ht="14.25" customHeight="1" s="89"/>
    <row r="722" ht="14.25" customHeight="1" s="89"/>
    <row r="723" ht="14.25" customHeight="1" s="89"/>
    <row r="724" ht="14.25" customHeight="1" s="89"/>
    <row r="725" ht="14.25" customHeight="1" s="89"/>
    <row r="726" ht="14.25" customHeight="1" s="89"/>
    <row r="727" ht="14.25" customHeight="1" s="89"/>
    <row r="728" ht="14.25" customHeight="1" s="89"/>
    <row r="729" ht="14.25" customHeight="1" s="89"/>
    <row r="730" ht="14.25" customHeight="1" s="89"/>
    <row r="731" ht="14.25" customHeight="1" s="89"/>
    <row r="732" ht="14.25" customHeight="1" s="89"/>
    <row r="733" ht="14.25" customHeight="1" s="89"/>
    <row r="734" ht="14.25" customHeight="1" s="89"/>
    <row r="735" ht="14.25" customHeight="1" s="89"/>
    <row r="736" ht="14.25" customHeight="1" s="89"/>
    <row r="737" ht="14.25" customHeight="1" s="89"/>
    <row r="738" ht="14.25" customHeight="1" s="89"/>
    <row r="739" ht="14.25" customHeight="1" s="89"/>
    <row r="740" ht="14.25" customHeight="1" s="89"/>
    <row r="741" ht="14.25" customHeight="1" s="89"/>
    <row r="742" ht="14.25" customHeight="1" s="89"/>
    <row r="743" ht="14.25" customHeight="1" s="89"/>
    <row r="744" ht="14.25" customHeight="1" s="89"/>
    <row r="745" ht="14.25" customHeight="1" s="89"/>
    <row r="746" ht="14.25" customHeight="1" s="89"/>
    <row r="747" ht="14.25" customHeight="1" s="89"/>
    <row r="748" ht="14.25" customHeight="1" s="89"/>
    <row r="749" ht="14.25" customHeight="1" s="89"/>
    <row r="750" ht="14.25" customHeight="1" s="89"/>
    <row r="751" ht="14.25" customHeight="1" s="89"/>
    <row r="752" ht="14.25" customHeight="1" s="89"/>
    <row r="753" ht="14.25" customHeight="1" s="89"/>
    <row r="754" ht="14.25" customHeight="1" s="89"/>
    <row r="755" ht="14.25" customHeight="1" s="89"/>
    <row r="756" ht="14.25" customHeight="1" s="89"/>
    <row r="757" ht="14.25" customHeight="1" s="89"/>
    <row r="758" ht="14.25" customHeight="1" s="89"/>
    <row r="759" ht="14.25" customHeight="1" s="89"/>
    <row r="760" ht="14.25" customHeight="1" s="89"/>
    <row r="761" ht="14.25" customHeight="1" s="89"/>
    <row r="762" ht="14.25" customHeight="1" s="89"/>
    <row r="763" ht="14.25" customHeight="1" s="89"/>
    <row r="764" ht="14.25" customHeight="1" s="89"/>
    <row r="765" ht="14.25" customHeight="1" s="89"/>
    <row r="766" ht="14.25" customHeight="1" s="89"/>
    <row r="767" ht="14.25" customHeight="1" s="89"/>
    <row r="768" ht="14.25" customHeight="1" s="89"/>
    <row r="769" ht="14.25" customHeight="1" s="89"/>
    <row r="770" ht="14.25" customHeight="1" s="89"/>
    <row r="771" ht="14.25" customHeight="1" s="89"/>
    <row r="772" ht="14.25" customHeight="1" s="89"/>
    <row r="773" ht="14.25" customHeight="1" s="89"/>
    <row r="774" ht="14.25" customHeight="1" s="89"/>
    <row r="775" ht="14.25" customHeight="1" s="89"/>
    <row r="776" ht="14.25" customHeight="1" s="89"/>
    <row r="777" ht="14.25" customHeight="1" s="89"/>
    <row r="778" ht="14.25" customHeight="1" s="89"/>
    <row r="779" ht="14.25" customHeight="1" s="89"/>
    <row r="780" ht="14.25" customHeight="1" s="89"/>
    <row r="781" ht="14.25" customHeight="1" s="89"/>
    <row r="782" ht="14.25" customHeight="1" s="89"/>
    <row r="783" ht="14.25" customHeight="1" s="89"/>
    <row r="784" ht="14.25" customHeight="1" s="89"/>
    <row r="785" ht="14.25" customHeight="1" s="89"/>
    <row r="786" ht="14.25" customHeight="1" s="89"/>
    <row r="787" ht="14.25" customHeight="1" s="89"/>
    <row r="788" ht="14.25" customHeight="1" s="89"/>
    <row r="789" ht="14.25" customHeight="1" s="89"/>
    <row r="790" ht="14.25" customHeight="1" s="89"/>
    <row r="791" ht="14.25" customHeight="1" s="89"/>
    <row r="792" ht="14.25" customHeight="1" s="89"/>
    <row r="793" ht="14.25" customHeight="1" s="89"/>
    <row r="794" ht="14.25" customHeight="1" s="89"/>
    <row r="795" ht="14.25" customHeight="1" s="89"/>
    <row r="796" ht="14.25" customHeight="1" s="89"/>
    <row r="797" ht="14.25" customHeight="1" s="89"/>
    <row r="798" ht="14.25" customHeight="1" s="89"/>
    <row r="799" ht="14.25" customHeight="1" s="89"/>
    <row r="800" ht="14.25" customHeight="1" s="89"/>
    <row r="801" ht="14.25" customHeight="1" s="89"/>
    <row r="802" ht="14.25" customHeight="1" s="89"/>
    <row r="803" ht="14.25" customHeight="1" s="89"/>
    <row r="804" ht="14.25" customHeight="1" s="89"/>
    <row r="805" ht="14.25" customHeight="1" s="89"/>
    <row r="806" ht="14.25" customHeight="1" s="89"/>
    <row r="807" ht="14.25" customHeight="1" s="89"/>
    <row r="808" ht="14.25" customHeight="1" s="89"/>
    <row r="809" ht="14.25" customHeight="1" s="89"/>
    <row r="810" ht="14.25" customHeight="1" s="89"/>
    <row r="811" ht="14.25" customHeight="1" s="89"/>
    <row r="812" ht="14.25" customHeight="1" s="89"/>
    <row r="813" ht="14.25" customHeight="1" s="89"/>
    <row r="814" ht="14.25" customHeight="1" s="89"/>
    <row r="815" ht="14.25" customHeight="1" s="89"/>
    <row r="816" ht="14.25" customHeight="1" s="89"/>
    <row r="817" ht="14.25" customHeight="1" s="89"/>
    <row r="818" ht="14.25" customHeight="1" s="89"/>
    <row r="819" ht="14.25" customHeight="1" s="89"/>
    <row r="820" ht="14.25" customHeight="1" s="89"/>
    <row r="821" ht="14.25" customHeight="1" s="89"/>
    <row r="822" ht="14.25" customHeight="1" s="89"/>
    <row r="823" ht="14.25" customHeight="1" s="89"/>
    <row r="824" ht="14.25" customHeight="1" s="89"/>
    <row r="825" ht="14.25" customHeight="1" s="89"/>
    <row r="826" ht="14.25" customHeight="1" s="89"/>
    <row r="827" ht="14.25" customHeight="1" s="89"/>
    <row r="828" ht="14.25" customHeight="1" s="89"/>
    <row r="829" ht="14.25" customHeight="1" s="89"/>
    <row r="830" ht="14.25" customHeight="1" s="89"/>
    <row r="831" ht="14.25" customHeight="1" s="89"/>
    <row r="832" ht="14.25" customHeight="1" s="89"/>
    <row r="833" ht="14.25" customHeight="1" s="89"/>
    <row r="834" ht="14.25" customHeight="1" s="89"/>
    <row r="835" ht="14.25" customHeight="1" s="89"/>
    <row r="836" ht="14.25" customHeight="1" s="89"/>
    <row r="837" ht="14.25" customHeight="1" s="89"/>
    <row r="838" ht="14.25" customHeight="1" s="89"/>
    <row r="839" ht="14.25" customHeight="1" s="89"/>
    <row r="840" ht="14.25" customHeight="1" s="89"/>
    <row r="841" ht="14.25" customHeight="1" s="89"/>
    <row r="842" ht="14.25" customHeight="1" s="89"/>
    <row r="843" ht="14.25" customHeight="1" s="89"/>
    <row r="844" ht="14.25" customHeight="1" s="89"/>
    <row r="845" ht="14.25" customHeight="1" s="89"/>
    <row r="846" ht="14.25" customHeight="1" s="89"/>
    <row r="847" ht="14.25" customHeight="1" s="89"/>
    <row r="848" ht="14.25" customHeight="1" s="89"/>
    <row r="849" ht="14.25" customHeight="1" s="89"/>
    <row r="850" ht="14.25" customHeight="1" s="89"/>
    <row r="851" ht="14.25" customHeight="1" s="89"/>
    <row r="852" ht="14.25" customHeight="1" s="89"/>
    <row r="853" ht="14.25" customHeight="1" s="89"/>
    <row r="854" ht="14.25" customHeight="1" s="89"/>
    <row r="855" ht="14.25" customHeight="1" s="89"/>
    <row r="856" ht="14.25" customHeight="1" s="89"/>
    <row r="857" ht="14.25" customHeight="1" s="89"/>
    <row r="858" ht="14.25" customHeight="1" s="89"/>
    <row r="859" ht="14.25" customHeight="1" s="89"/>
    <row r="860" ht="14.25" customHeight="1" s="89"/>
    <row r="861" ht="14.25" customHeight="1" s="89"/>
    <row r="862" ht="14.25" customHeight="1" s="89"/>
    <row r="863" ht="14.25" customHeight="1" s="89"/>
    <row r="864" ht="14.25" customHeight="1" s="89"/>
    <row r="865" ht="14.25" customHeight="1" s="89"/>
    <row r="866" ht="14.25" customHeight="1" s="89"/>
    <row r="867" ht="14.25" customHeight="1" s="89"/>
    <row r="868" ht="14.25" customHeight="1" s="89"/>
    <row r="869" ht="14.25" customHeight="1" s="89"/>
    <row r="870" ht="14.25" customHeight="1" s="89"/>
    <row r="871" ht="14.25" customHeight="1" s="89"/>
    <row r="872" ht="14.25" customHeight="1" s="89"/>
    <row r="873" ht="14.25" customHeight="1" s="89"/>
    <row r="874" ht="14.25" customHeight="1" s="89"/>
    <row r="875" ht="14.25" customHeight="1" s="89"/>
    <row r="876" ht="14.25" customHeight="1" s="89"/>
    <row r="877" ht="14.25" customHeight="1" s="89"/>
    <row r="878" ht="14.25" customHeight="1" s="89"/>
    <row r="879" ht="14.25" customHeight="1" s="89"/>
    <row r="880" ht="14.25" customHeight="1" s="89"/>
    <row r="881" ht="14.25" customHeight="1" s="89"/>
    <row r="882" ht="14.25" customHeight="1" s="89"/>
    <row r="883" ht="14.25" customHeight="1" s="89"/>
    <row r="884" ht="14.25" customHeight="1" s="89"/>
    <row r="885" ht="14.25" customHeight="1" s="89"/>
    <row r="886" ht="14.25" customHeight="1" s="89"/>
    <row r="887" ht="14.25" customHeight="1" s="89"/>
    <row r="888" ht="14.25" customHeight="1" s="89"/>
    <row r="889" ht="14.25" customHeight="1" s="89"/>
    <row r="890" ht="14.25" customHeight="1" s="89"/>
    <row r="891" ht="14.25" customHeight="1" s="89"/>
    <row r="892" ht="14.25" customHeight="1" s="89"/>
    <row r="893" ht="14.25" customHeight="1" s="89"/>
    <row r="894" ht="14.25" customHeight="1" s="89"/>
    <row r="895" ht="14.25" customHeight="1" s="89"/>
    <row r="896" ht="14.25" customHeight="1" s="89"/>
    <row r="897" ht="14.25" customHeight="1" s="89"/>
    <row r="898" ht="14.25" customHeight="1" s="89"/>
    <row r="899" ht="14.25" customHeight="1" s="89"/>
    <row r="900" ht="14.25" customHeight="1" s="89"/>
    <row r="901" ht="14.25" customHeight="1" s="89"/>
    <row r="902" ht="14.25" customHeight="1" s="89"/>
    <row r="903" ht="14.25" customHeight="1" s="89"/>
    <row r="904" ht="14.25" customHeight="1" s="89"/>
    <row r="905" ht="14.25" customHeight="1" s="89"/>
    <row r="906" ht="14.25" customHeight="1" s="89"/>
    <row r="907" ht="14.25" customHeight="1" s="89"/>
    <row r="908" ht="14.25" customHeight="1" s="89"/>
    <row r="909" ht="14.25" customHeight="1" s="89"/>
    <row r="910" ht="14.25" customHeight="1" s="89"/>
    <row r="911" ht="14.25" customHeight="1" s="89"/>
    <row r="912" ht="14.25" customHeight="1" s="89"/>
    <row r="913" ht="14.25" customHeight="1" s="89"/>
    <row r="914" ht="14.25" customHeight="1" s="89"/>
    <row r="915" ht="14.25" customHeight="1" s="89"/>
    <row r="916" ht="14.25" customHeight="1" s="89"/>
    <row r="917" ht="14.25" customHeight="1" s="89"/>
    <row r="918" ht="14.25" customHeight="1" s="89"/>
    <row r="919" ht="14.25" customHeight="1" s="89"/>
    <row r="920" ht="14.25" customHeight="1" s="89"/>
    <row r="921" ht="14.25" customHeight="1" s="89"/>
    <row r="922" ht="14.25" customHeight="1" s="89"/>
    <row r="923" ht="14.25" customHeight="1" s="89"/>
    <row r="924" ht="14.25" customHeight="1" s="89"/>
    <row r="925" ht="14.25" customHeight="1" s="89"/>
    <row r="926" ht="14.25" customHeight="1" s="89"/>
    <row r="927" ht="14.25" customHeight="1" s="89"/>
    <row r="928" ht="14.25" customHeight="1" s="89"/>
    <row r="929" ht="14.25" customHeight="1" s="89"/>
    <row r="930" ht="14.25" customHeight="1" s="89"/>
    <row r="931" ht="14.25" customHeight="1" s="89"/>
    <row r="932" ht="14.25" customHeight="1" s="89"/>
    <row r="933" ht="14.25" customHeight="1" s="89"/>
    <row r="934" ht="14.25" customHeight="1" s="89"/>
    <row r="935" ht="14.25" customHeight="1" s="89"/>
    <row r="936" ht="14.25" customHeight="1" s="89"/>
    <row r="937" ht="14.25" customHeight="1" s="89"/>
    <row r="938" ht="14.25" customHeight="1" s="89"/>
    <row r="939" ht="14.25" customHeight="1" s="89"/>
    <row r="940" ht="14.25" customHeight="1" s="89"/>
    <row r="941" ht="14.25" customHeight="1" s="89"/>
    <row r="942" ht="14.25" customHeight="1" s="89"/>
    <row r="943" ht="14.25" customHeight="1" s="89"/>
    <row r="944" ht="14.25" customHeight="1" s="89"/>
    <row r="945" ht="14.25" customHeight="1" s="89"/>
    <row r="946" ht="14.25" customHeight="1" s="89"/>
    <row r="947" ht="14.25" customHeight="1" s="89"/>
    <row r="948" ht="14.25" customHeight="1" s="89"/>
    <row r="949" ht="14.25" customHeight="1" s="89"/>
    <row r="950" ht="14.25" customHeight="1" s="89"/>
    <row r="951" ht="14.25" customHeight="1" s="89"/>
    <row r="952" ht="14.25" customHeight="1" s="89"/>
    <row r="953" ht="14.25" customHeight="1" s="89"/>
    <row r="954" ht="14.25" customHeight="1" s="89"/>
    <row r="955" ht="14.25" customHeight="1" s="89"/>
    <row r="956" ht="14.25" customHeight="1" s="89"/>
    <row r="957" ht="14.25" customHeight="1" s="89"/>
    <row r="958" ht="14.25" customHeight="1" s="89"/>
    <row r="959" ht="14.25" customHeight="1" s="89"/>
    <row r="960" ht="14.25" customHeight="1" s="89"/>
    <row r="961" ht="14.25" customHeight="1" s="89"/>
    <row r="962" ht="14.25" customHeight="1" s="89"/>
    <row r="963" ht="14.25" customHeight="1" s="89"/>
    <row r="964" ht="14.25" customHeight="1" s="89"/>
    <row r="965" ht="14.25" customHeight="1" s="89"/>
    <row r="966" ht="14.25" customHeight="1" s="89"/>
    <row r="967" ht="14.25" customHeight="1" s="89"/>
    <row r="968" ht="14.25" customHeight="1" s="89"/>
    <row r="969" ht="14.25" customHeight="1" s="89"/>
    <row r="970" ht="14.25" customHeight="1" s="89"/>
    <row r="971" ht="14.25" customHeight="1" s="89"/>
    <row r="972" ht="14.25" customHeight="1" s="89"/>
    <row r="973" ht="14.25" customHeight="1" s="89"/>
    <row r="974" ht="14.25" customHeight="1" s="89"/>
    <row r="975" ht="14.25" customHeight="1" s="89"/>
    <row r="976" ht="14.25" customHeight="1" s="89"/>
    <row r="977" ht="14.25" customHeight="1" s="89"/>
    <row r="978" ht="14.25" customHeight="1" s="89"/>
    <row r="979" ht="14.25" customHeight="1" s="89"/>
    <row r="980" ht="14.25" customHeight="1" s="89"/>
    <row r="981" ht="14.25" customHeight="1" s="89"/>
    <row r="982" ht="14.25" customHeight="1" s="89"/>
    <row r="983" ht="14.25" customHeight="1" s="89"/>
    <row r="984" ht="14.25" customHeight="1" s="89"/>
    <row r="985" ht="14.25" customHeight="1" s="89"/>
    <row r="986" ht="14.25" customHeight="1" s="89"/>
    <row r="987" ht="14.25" customHeight="1" s="89"/>
    <row r="988" ht="14.25" customHeight="1" s="89"/>
    <row r="989" ht="14.25" customHeight="1" s="89"/>
    <row r="990" ht="14.25" customHeight="1" s="89"/>
    <row r="991" ht="14.25" customHeight="1" s="89"/>
    <row r="992" ht="14.25" customHeight="1" s="89"/>
    <row r="993" ht="14.25" customHeight="1" s="89"/>
    <row r="994" ht="14.25" customHeight="1" s="89"/>
    <row r="995" ht="14.25" customHeight="1" s="89"/>
    <row r="996" ht="14.25" customHeight="1" s="89"/>
    <row r="997" ht="14.25" customHeight="1" s="89"/>
    <row r="998" ht="14.25" customHeight="1" s="89"/>
    <row r="999" ht="14.25" customHeight="1" s="89"/>
    <row r="1000" ht="14.25" customHeight="1" s="89"/>
  </sheetData>
  <mergeCells count="2">
    <mergeCell ref="A12:J12"/>
    <mergeCell ref="A18:J18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0" zoomScale="60" zoomScaleNormal="60" workbookViewId="0">
      <pane xSplit="11" ySplit="16" topLeftCell="L17" activePane="bottomRight" state="frozen"/>
      <selection pane="topRight" activeCell="L1" sqref="L1"/>
      <selection pane="bottomLeft" activeCell="A17" sqref="A17"/>
      <selection pane="bottomRight" activeCell="C14" sqref="C14"/>
    </sheetView>
  </sheetViews>
  <sheetFormatPr baseColWidth="10" defaultColWidth="14.453125" defaultRowHeight="14.5"/>
  <cols>
    <col width="8.6328125" customWidth="1" style="89" min="1" max="26"/>
  </cols>
  <sheetData>
    <row r="1" ht="36" customHeight="1" s="89">
      <c r="A1" s="158" t="inlineStr">
        <is>
          <t>Instructions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</row>
    <row r="3">
      <c r="A3" s="1" t="n">
        <v>1</v>
      </c>
      <c r="B3" s="1" t="inlineStr">
        <is>
          <t>Complete every section of this workbook</t>
        </is>
      </c>
    </row>
    <row r="4">
      <c r="A4" s="1" t="n">
        <v>2</v>
      </c>
      <c r="B4" s="1" t="inlineStr">
        <is>
          <t>Do not update the Income and Expenses worksheet. This feeds in from the other sheets</t>
        </is>
      </c>
    </row>
    <row r="5">
      <c r="A5" s="1" t="n">
        <v>3</v>
      </c>
      <c r="B5" s="1" t="inlineStr">
        <is>
          <t>If you have to calculate anything, please enter the detail to the relevant worksheet</t>
        </is>
      </c>
    </row>
    <row r="6">
      <c r="A6" s="1" t="n">
        <v>4</v>
      </c>
      <c r="B6" s="1" t="inlineStr">
        <is>
          <t>Ensure you have copies of all invoices and receipts</t>
        </is>
      </c>
    </row>
    <row r="7">
      <c r="A7" s="1" t="n">
        <v>5</v>
      </c>
      <c r="B7" s="1" t="inlineStr">
        <is>
          <t>Please reference each invoice/receipt in the relevant worksheet</t>
        </is>
      </c>
    </row>
    <row r="16" ht="18.5" customHeight="1" s="89">
      <c r="A16" s="6" t="inlineStr">
        <is>
          <t>Navigation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Next</t>
        </is>
      </c>
    </row>
  </sheetData>
  <mergeCells count="2">
    <mergeCell ref="A16:K16"/>
    <mergeCell ref="A1:K1"/>
  </mergeCells>
  <hyperlinks>
    <hyperlink ref="A17" location="'Client Details'!A1" display="Next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2"/>
  <sheetViews>
    <sheetView showGridLines="0" zoomScale="60" zoomScaleNormal="6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22" sqref="A22:B22"/>
    </sheetView>
  </sheetViews>
  <sheetFormatPr baseColWidth="10" defaultColWidth="14.453125" defaultRowHeight="15" customHeight="1"/>
  <cols>
    <col width="17.453125" bestFit="1" customWidth="1" style="119" min="1" max="1"/>
    <col width="32.08984375" bestFit="1" customWidth="1" style="119" min="2" max="2"/>
    <col width="13.26953125" bestFit="1" customWidth="1" style="41" min="3" max="3"/>
    <col width="11" bestFit="1" customWidth="1" style="119" min="4" max="4"/>
    <col width="9.36328125" customWidth="1" style="119" min="5" max="26"/>
    <col width="14.453125" customWidth="1" style="119" min="27" max="16384"/>
  </cols>
  <sheetData>
    <row r="1" ht="37.5" customHeight="1" s="89">
      <c r="A1" s="160" t="inlineStr">
        <is>
          <t>Tax Deductions</t>
        </is>
      </c>
      <c r="B1" s="161" t="n"/>
      <c r="C1" s="161" t="n"/>
      <c r="D1" s="161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18" customHeight="1" s="89">
      <c r="A2" s="162" t="n"/>
      <c r="B2" s="163" t="n"/>
      <c r="C2" s="163" t="n"/>
      <c r="D2" s="164" t="n"/>
    </row>
    <row r="3" ht="18" customHeight="1" s="89">
      <c r="A3" s="32" t="inlineStr">
        <is>
          <t>Client Name:</t>
        </is>
      </c>
      <c r="B3" s="33" t="n"/>
      <c r="C3" s="40" t="inlineStr">
        <is>
          <t>Year Ending:</t>
        </is>
      </c>
      <c r="D3" s="34" t="n"/>
    </row>
    <row r="4" ht="18" customHeight="1" s="89">
      <c r="A4" s="165" t="n"/>
    </row>
    <row r="5" ht="18" customHeight="1" s="89"/>
    <row r="6" ht="22.5" customHeight="1" s="89">
      <c r="A6" s="166" t="inlineStr">
        <is>
          <t>Client Address</t>
        </is>
      </c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 ht="18" customHeight="1" s="89">
      <c r="A7" s="167" t="n"/>
      <c r="B7" s="163" t="n"/>
      <c r="C7" s="163" t="n"/>
      <c r="D7" s="164" t="n"/>
    </row>
    <row r="8" ht="18" customHeight="1" s="89">
      <c r="A8" s="64" t="inlineStr">
        <is>
          <t>P6. Client Address:</t>
        </is>
      </c>
      <c r="B8" s="168" t="n"/>
      <c r="C8" s="169" t="n"/>
      <c r="D8" s="170" t="n"/>
    </row>
    <row r="9" ht="18" customHeight="1" s="89">
      <c r="A9" s="164" t="n"/>
      <c r="B9" s="168" t="n"/>
      <c r="C9" s="169" t="n"/>
      <c r="D9" s="170" t="n"/>
    </row>
    <row r="10" ht="18" customHeight="1" s="89">
      <c r="A10" s="171" t="n"/>
      <c r="B10" s="172" t="n"/>
      <c r="C10" s="173" t="n"/>
    </row>
    <row r="11" ht="22.5" customHeight="1" s="89">
      <c r="A11" s="174" t="inlineStr">
        <is>
          <t>Client Details</t>
        </is>
      </c>
      <c r="C11" s="17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</row>
    <row r="12" ht="18" customHeight="1" s="89">
      <c r="A12" s="65" t="inlineStr">
        <is>
          <t>Occupation</t>
        </is>
      </c>
      <c r="B12" s="164" t="n"/>
      <c r="C12" s="42" t="n"/>
    </row>
    <row r="13" ht="18" customHeight="1" s="89">
      <c r="A13" s="64" t="inlineStr">
        <is>
          <t>Date of Birth</t>
        </is>
      </c>
      <c r="B13" s="170" t="n"/>
      <c r="C13" s="43" t="n"/>
    </row>
    <row r="14" ht="18" customHeight="1" s="89">
      <c r="A14" s="64" t="inlineStr">
        <is>
          <t>Does the client have a spouse?</t>
        </is>
      </c>
      <c r="B14" s="170" t="n"/>
      <c r="C14" s="44" t="n"/>
    </row>
    <row r="15" ht="18" customHeight="1" s="89">
      <c r="A15" s="64" t="inlineStr">
        <is>
          <t>Is the client exempt from Medicare - Medicare Entitlement Statement</t>
        </is>
      </c>
      <c r="B15" s="170" t="n"/>
      <c r="C15" s="44" t="n"/>
    </row>
    <row r="16" ht="18" customHeight="1" s="89">
      <c r="A16" s="64" t="inlineStr">
        <is>
          <t>Does the client have private health?</t>
        </is>
      </c>
      <c r="B16" s="170" t="n"/>
      <c r="C16" s="44" t="n"/>
    </row>
    <row r="17" ht="18" customHeight="1" s="89">
      <c r="A17" s="64" t="inlineStr">
        <is>
          <t>Current Super Balance</t>
        </is>
      </c>
      <c r="B17" s="170" t="n"/>
      <c r="C17" s="45" t="n"/>
    </row>
    <row r="18" ht="18" customHeight="1" s="89">
      <c r="A18" s="64" t="n"/>
      <c r="B18" s="170" t="n"/>
      <c r="C18" s="45" t="n"/>
    </row>
    <row r="19" ht="18" customHeight="1" s="89">
      <c r="A19" s="103" t="n"/>
      <c r="B19" s="173" t="n"/>
      <c r="C19" s="46" t="n"/>
    </row>
    <row r="20" ht="18" customHeight="1" s="89">
      <c r="A20" s="174" t="inlineStr">
        <is>
          <t>Deductions Client is Claiming</t>
        </is>
      </c>
      <c r="C20" s="174" t="n"/>
    </row>
    <row r="21" ht="18" customHeight="1" s="89">
      <c r="A21" s="176" t="inlineStr">
        <is>
          <t>Motor Vehicle?</t>
        </is>
      </c>
      <c r="B21" s="164" t="n"/>
      <c r="C21" s="44" t="n"/>
    </row>
    <row r="22" ht="18" customHeight="1" s="89">
      <c r="A22" s="177" t="inlineStr">
        <is>
          <t>Travel?</t>
        </is>
      </c>
      <c r="B22" s="170" t="n"/>
      <c r="C22" s="44" t="n"/>
    </row>
    <row r="23" ht="18" customHeight="1" s="89">
      <c r="A23" s="64" t="inlineStr">
        <is>
          <t>Home Office?</t>
        </is>
      </c>
      <c r="B23" s="170" t="n"/>
      <c r="C23" s="44" t="n"/>
    </row>
    <row r="24" ht="18" customHeight="1" s="89">
      <c r="A24" s="64" t="inlineStr">
        <is>
          <t>Clothing/laundry?</t>
        </is>
      </c>
      <c r="B24" s="170" t="n"/>
      <c r="C24" s="44" t="n"/>
    </row>
    <row r="25" ht="18" customHeight="1" s="89">
      <c r="A25" s="64" t="inlineStr">
        <is>
          <t>Self Education?</t>
        </is>
      </c>
      <c r="B25" s="170" t="n"/>
      <c r="C25" s="44" t="n"/>
    </row>
    <row r="26" ht="18" customHeight="1" s="89">
      <c r="A26" s="64" t="inlineStr">
        <is>
          <t>Assets?</t>
        </is>
      </c>
      <c r="B26" s="170" t="n"/>
      <c r="C26" s="44" t="n"/>
    </row>
    <row r="27" ht="18" customHeight="1" s="89">
      <c r="A27" s="64" t="inlineStr">
        <is>
          <t>Tax Agent Fees?</t>
        </is>
      </c>
      <c r="B27" s="170" t="n"/>
      <c r="C27" s="44" t="n"/>
    </row>
    <row r="28" ht="18" customHeight="1" s="89">
      <c r="A28" s="64" t="inlineStr">
        <is>
          <t>Donations?</t>
        </is>
      </c>
      <c r="B28" s="170" t="n"/>
      <c r="C28" s="44" t="n"/>
    </row>
    <row r="29" ht="18" customHeight="1" s="89">
      <c r="A29" s="64" t="inlineStr">
        <is>
          <t>Personal Super Contributions?</t>
        </is>
      </c>
      <c r="B29" s="170" t="n"/>
      <c r="C29" s="44" t="n"/>
    </row>
    <row r="30" ht="18" customHeight="1" s="89">
      <c r="A30" s="64" t="n"/>
      <c r="B30" s="170" t="n"/>
      <c r="C30" s="45" t="n"/>
    </row>
    <row r="31" ht="18" customHeight="1" s="89">
      <c r="A31" s="103" t="n"/>
      <c r="B31" s="173" t="n"/>
      <c r="C31" s="46" t="n"/>
    </row>
    <row r="32" ht="22.5" customHeight="1" s="89">
      <c r="A32" s="174" t="inlineStr">
        <is>
          <t>Navigation</t>
        </is>
      </c>
      <c r="C32" s="174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 ht="14.25" customHeight="1" s="89">
      <c r="A33" s="38" t="inlineStr">
        <is>
          <t>Next</t>
        </is>
      </c>
    </row>
    <row r="34" ht="14.25" customHeight="1" s="89"/>
    <row r="35" ht="14.25" customHeight="1" s="89"/>
    <row r="36" ht="14.25" customHeight="1" s="89"/>
    <row r="37" ht="14.25" customHeight="1" s="89"/>
    <row r="38" ht="14.25" customHeight="1" s="89"/>
    <row r="39" ht="14.25" customHeight="1" s="89"/>
    <row r="40" ht="14.25" customHeight="1" s="89"/>
    <row r="41" ht="14.25" customHeight="1" s="89"/>
    <row r="42" ht="14.25" customHeight="1" s="89"/>
    <row r="43" ht="14.25" customHeight="1" s="89"/>
    <row r="44" ht="14.25" customHeight="1" s="89"/>
    <row r="45" ht="14.25" customHeight="1" s="89"/>
    <row r="46" ht="14.25" customHeight="1" s="89"/>
    <row r="47" ht="14.25" customHeight="1" s="89"/>
    <row r="48" ht="14.25" customHeight="1" s="89"/>
    <row r="49" ht="14.25" customHeight="1" s="89"/>
    <row r="50" ht="14.25" customHeight="1" s="89">
      <c r="A50" s="39" t="inlineStr">
        <is>
          <t>Do not delete</t>
        </is>
      </c>
    </row>
    <row r="51" ht="14.25" customHeight="1" s="89">
      <c r="A51" s="39" t="inlineStr">
        <is>
          <t>Yes</t>
        </is>
      </c>
    </row>
    <row r="52" ht="14.25" customHeight="1" s="89">
      <c r="A52" s="39" t="inlineStr">
        <is>
          <t>No</t>
        </is>
      </c>
    </row>
    <row r="53" ht="14.25" customHeight="1" s="89"/>
    <row r="54" ht="14.25" customHeight="1" s="89"/>
    <row r="55" ht="14.25" customHeight="1" s="89"/>
    <row r="56" ht="14.25" customHeight="1" s="89"/>
    <row r="57" ht="14.25" customHeight="1" s="89"/>
    <row r="58" ht="14.25" customHeight="1" s="89"/>
    <row r="59" ht="14.25" customHeight="1" s="89"/>
    <row r="60" ht="14.25" customHeight="1" s="89"/>
    <row r="61" ht="14.25" customHeight="1" s="89"/>
    <row r="62" ht="14.25" customHeight="1" s="89"/>
    <row r="63" ht="14.25" customHeight="1" s="89"/>
    <row r="64" ht="14.25" customHeight="1" s="89"/>
    <row r="65" ht="14.25" customHeight="1" s="89"/>
    <row r="66" ht="14.25" customHeight="1" s="89"/>
    <row r="67" ht="14.25" customHeight="1" s="89"/>
    <row r="68" ht="14.25" customHeight="1" s="89"/>
    <row r="69" ht="14.25" customHeight="1" s="89"/>
    <row r="70" ht="14.25" customHeight="1" s="89"/>
    <row r="71" ht="14.25" customHeight="1" s="89"/>
    <row r="72" ht="14.25" customHeight="1" s="89"/>
    <row r="73" ht="14.25" customHeight="1" s="89"/>
    <row r="74" ht="14.25" customHeight="1" s="89"/>
    <row r="75" ht="14.25" customHeight="1" s="89"/>
    <row r="76" ht="14.25" customHeight="1" s="89"/>
    <row r="77" ht="14.25" customHeight="1" s="89"/>
    <row r="78" ht="14.25" customHeight="1" s="89"/>
    <row r="79" ht="14.25" customHeight="1" s="89"/>
    <row r="80" ht="14.25" customHeight="1" s="89"/>
    <row r="81" ht="14.25" customHeight="1" s="89"/>
    <row r="82" ht="14.25" customHeight="1" s="89"/>
    <row r="83" ht="14.25" customHeight="1" s="89"/>
    <row r="84" ht="14.25" customHeight="1" s="89"/>
    <row r="85" ht="14.25" customHeight="1" s="89"/>
    <row r="86" ht="14.25" customHeight="1" s="89"/>
    <row r="87" ht="14.25" customHeight="1" s="89"/>
    <row r="88" ht="14.25" customHeight="1" s="89"/>
    <row r="89" ht="14.25" customHeight="1" s="89"/>
    <row r="90" ht="14.25" customHeight="1" s="89"/>
    <row r="91" ht="14.25" customHeight="1" s="89"/>
    <row r="92" ht="14.25" customHeight="1" s="89"/>
    <row r="93" ht="14.25" customHeight="1" s="89"/>
    <row r="94" ht="14.25" customHeight="1" s="89"/>
    <row r="95" ht="14.25" customHeight="1" s="89"/>
    <row r="96" ht="14.25" customHeight="1" s="89"/>
    <row r="97" ht="14.25" customHeight="1" s="89"/>
    <row r="98" ht="14.25" customHeight="1" s="89"/>
    <row r="99" ht="14.25" customHeight="1" s="89"/>
    <row r="100" ht="14.25" customHeight="1" s="89"/>
    <row r="101" ht="14.25" customHeight="1" s="89"/>
    <row r="102" ht="14.25" customHeight="1" s="89"/>
    <row r="103" ht="14.25" customHeight="1" s="89"/>
    <row r="104" ht="14.25" customHeight="1" s="89"/>
    <row r="105" ht="14.25" customHeight="1" s="89"/>
    <row r="106" ht="14.25" customHeight="1" s="89"/>
    <row r="107" ht="14.25" customHeight="1" s="89"/>
    <row r="108" ht="14.25" customHeight="1" s="89"/>
    <row r="109" ht="14.25" customHeight="1" s="89"/>
    <row r="110" ht="14.25" customHeight="1" s="89"/>
    <row r="111" ht="14.25" customHeight="1" s="89"/>
    <row r="112" ht="14.25" customHeight="1" s="89"/>
    <row r="113" ht="14.25" customHeight="1" s="89"/>
    <row r="114" ht="14.25" customHeight="1" s="89"/>
    <row r="115" ht="14.25" customHeight="1" s="89"/>
    <row r="116" ht="14.25" customHeight="1" s="89"/>
    <row r="117" ht="14.25" customHeight="1" s="89"/>
    <row r="118" ht="14.25" customHeight="1" s="89"/>
    <row r="119" ht="14.25" customHeight="1" s="89"/>
    <row r="120" ht="14.25" customHeight="1" s="89"/>
    <row r="121" ht="14.25" customHeight="1" s="89"/>
    <row r="122" ht="14.25" customHeight="1" s="89"/>
    <row r="123" ht="14.25" customHeight="1" s="89"/>
    <row r="124" ht="14.25" customHeight="1" s="89"/>
    <row r="125" ht="14.25" customHeight="1" s="89"/>
    <row r="126" ht="14.25" customHeight="1" s="89"/>
    <row r="127" ht="14.25" customHeight="1" s="89"/>
    <row r="128" ht="14.25" customHeight="1" s="89"/>
    <row r="129" ht="14.25" customHeight="1" s="89"/>
    <row r="130" ht="14.25" customHeight="1" s="89"/>
    <row r="131" ht="14.25" customHeight="1" s="89"/>
    <row r="132" ht="14.25" customHeight="1" s="89"/>
    <row r="133" ht="14.25" customHeight="1" s="89"/>
    <row r="134" ht="14.25" customHeight="1" s="89"/>
    <row r="135" ht="14.25" customHeight="1" s="89"/>
    <row r="136" ht="14.25" customHeight="1" s="89"/>
    <row r="137" ht="14.25" customHeight="1" s="89"/>
    <row r="138" ht="14.25" customHeight="1" s="89"/>
    <row r="139" ht="14.25" customHeight="1" s="89"/>
    <row r="140" ht="14.25" customHeight="1" s="89"/>
    <row r="141" ht="14.25" customHeight="1" s="89"/>
    <row r="142" ht="14.25" customHeight="1" s="89"/>
    <row r="143" ht="14.25" customHeight="1" s="89"/>
    <row r="144" ht="14.25" customHeight="1" s="89"/>
    <row r="145" ht="14.25" customHeight="1" s="89"/>
    <row r="146" ht="14.25" customHeight="1" s="89"/>
    <row r="147" ht="14.25" customHeight="1" s="89"/>
    <row r="148" ht="14.25" customHeight="1" s="89"/>
    <row r="149" ht="14.25" customHeight="1" s="89"/>
    <row r="150" ht="14.25" customHeight="1" s="89"/>
    <row r="151" ht="14.25" customHeight="1" s="89"/>
    <row r="152" ht="14.25" customHeight="1" s="89"/>
    <row r="153" ht="14.25" customHeight="1" s="89"/>
    <row r="154" ht="14.25" customHeight="1" s="89"/>
    <row r="155" ht="14.25" customHeight="1" s="89"/>
    <row r="156" ht="14.25" customHeight="1" s="89"/>
    <row r="157" ht="14.25" customHeight="1" s="89"/>
    <row r="158" ht="14.25" customHeight="1" s="89"/>
    <row r="159" ht="14.25" customHeight="1" s="89"/>
    <row r="160" ht="14.25" customHeight="1" s="89"/>
    <row r="161" ht="14.25" customHeight="1" s="89"/>
    <row r="162" ht="14.25" customHeight="1" s="89"/>
    <row r="163" ht="14.25" customHeight="1" s="89"/>
    <row r="164" ht="14.25" customHeight="1" s="89"/>
    <row r="165" ht="14.25" customHeight="1" s="89"/>
    <row r="166" ht="14.25" customHeight="1" s="89"/>
    <row r="167" ht="14.25" customHeight="1" s="89"/>
    <row r="168" ht="14.25" customHeight="1" s="89"/>
    <row r="169" ht="14.25" customHeight="1" s="89"/>
    <row r="170" ht="14.25" customHeight="1" s="89"/>
    <row r="171" ht="14.25" customHeight="1" s="89"/>
    <row r="172" ht="14.25" customHeight="1" s="89"/>
    <row r="173" ht="14.25" customHeight="1" s="89"/>
    <row r="174" ht="14.25" customHeight="1" s="89"/>
    <row r="175" ht="14.25" customHeight="1" s="89"/>
    <row r="176" ht="14.25" customHeight="1" s="89"/>
    <row r="177" ht="14.25" customHeight="1" s="89"/>
    <row r="178" ht="14.25" customHeight="1" s="89"/>
    <row r="179" ht="14.25" customHeight="1" s="89"/>
    <row r="180" ht="14.25" customHeight="1" s="89"/>
    <row r="181" ht="14.25" customHeight="1" s="89"/>
    <row r="182" ht="14.25" customHeight="1" s="89"/>
    <row r="183" ht="14.25" customHeight="1" s="89"/>
    <row r="184" ht="14.25" customHeight="1" s="89"/>
    <row r="185" ht="14.25" customHeight="1" s="89"/>
    <row r="186" ht="14.25" customHeight="1" s="89"/>
    <row r="187" ht="14.25" customHeight="1" s="89"/>
    <row r="188" ht="14.25" customHeight="1" s="89"/>
    <row r="189" ht="14.25" customHeight="1" s="89"/>
    <row r="190" ht="14.25" customHeight="1" s="89"/>
    <row r="191" ht="14.25" customHeight="1" s="89"/>
    <row r="192" ht="14.25" customHeight="1" s="89"/>
    <row r="193" ht="14.25" customHeight="1" s="89"/>
    <row r="194" ht="14.25" customHeight="1" s="89"/>
    <row r="195" ht="14.25" customHeight="1" s="89"/>
    <row r="196" ht="14.25" customHeight="1" s="89"/>
    <row r="197" ht="14.25" customHeight="1" s="89"/>
    <row r="198" ht="14.25" customHeight="1" s="89"/>
    <row r="199" ht="14.25" customHeight="1" s="89"/>
    <row r="200" ht="14.25" customHeight="1" s="89"/>
    <row r="201" ht="14.25" customHeight="1" s="89"/>
    <row r="202" ht="14.25" customHeight="1" s="89"/>
    <row r="203" ht="14.25" customHeight="1" s="89"/>
    <row r="204" ht="14.25" customHeight="1" s="89"/>
    <row r="205" ht="14.25" customHeight="1" s="89"/>
    <row r="206" ht="14.25" customHeight="1" s="89"/>
    <row r="207" ht="14.25" customHeight="1" s="89"/>
    <row r="208" ht="14.25" customHeight="1" s="89"/>
    <row r="209" ht="14.25" customHeight="1" s="89"/>
    <row r="210" ht="14.25" customHeight="1" s="89"/>
    <row r="211" ht="14.25" customHeight="1" s="89"/>
    <row r="212" ht="14.25" customHeight="1" s="89"/>
    <row r="213" ht="14.25" customHeight="1" s="89"/>
    <row r="214" ht="14.25" customHeight="1" s="89"/>
    <row r="215" ht="14.25" customHeight="1" s="89"/>
    <row r="216" ht="14.25" customHeight="1" s="89"/>
    <row r="217" ht="14.25" customHeight="1" s="89"/>
    <row r="218" ht="14.25" customHeight="1" s="89"/>
    <row r="219" ht="14.25" customHeight="1" s="89"/>
    <row r="220" ht="14.25" customHeight="1" s="89"/>
    <row r="221" ht="14.25" customHeight="1" s="89"/>
    <row r="222" ht="14.25" customHeight="1" s="89"/>
    <row r="223" ht="14.25" customHeight="1" s="89"/>
    <row r="224" ht="14.25" customHeight="1" s="89"/>
    <row r="225" ht="14.25" customHeight="1" s="89"/>
    <row r="226" ht="14.25" customHeight="1" s="89"/>
    <row r="227" ht="14.25" customHeight="1" s="89"/>
    <row r="228" ht="14.25" customHeight="1" s="89"/>
    <row r="229" ht="14.25" customHeight="1" s="89"/>
    <row r="230" ht="14.25" customHeight="1" s="89"/>
    <row r="231" ht="14.25" customHeight="1" s="89"/>
    <row r="232" ht="14.25" customHeight="1" s="89"/>
    <row r="233" ht="14.25" customHeight="1" s="89"/>
    <row r="234" ht="14.25" customHeight="1" s="89"/>
    <row r="235" ht="14.25" customHeight="1" s="89"/>
    <row r="236" ht="14.25" customHeight="1" s="89"/>
    <row r="237" ht="14.25" customHeight="1" s="89"/>
    <row r="238" ht="14.25" customHeight="1" s="89"/>
    <row r="239" ht="14.25" customHeight="1" s="89"/>
    <row r="240" ht="14.25" customHeight="1" s="89"/>
    <row r="241" ht="14.25" customHeight="1" s="89"/>
    <row r="242" ht="14.25" customHeight="1" s="89"/>
    <row r="243" ht="14.25" customHeight="1" s="89"/>
    <row r="244" ht="14.25" customHeight="1" s="89"/>
    <row r="245" ht="14.25" customHeight="1" s="89"/>
    <row r="246" ht="14.25" customHeight="1" s="89"/>
    <row r="247" ht="14.25" customHeight="1" s="89"/>
    <row r="248" ht="14.25" customHeight="1" s="89"/>
    <row r="249" ht="14.25" customHeight="1" s="89"/>
    <row r="250" ht="14.25" customHeight="1" s="89"/>
    <row r="251" ht="14.25" customHeight="1" s="89"/>
    <row r="252" ht="14.25" customHeight="1" s="89"/>
    <row r="253" ht="14.25" customHeight="1" s="89"/>
    <row r="254" ht="14.25" customHeight="1" s="89"/>
    <row r="255" ht="14.25" customHeight="1" s="89"/>
    <row r="256" ht="14.25" customHeight="1" s="89"/>
    <row r="257" ht="14.25" customHeight="1" s="89"/>
    <row r="258" ht="14.25" customHeight="1" s="89"/>
    <row r="259" ht="14.25" customHeight="1" s="89"/>
    <row r="260" ht="14.25" customHeight="1" s="89"/>
    <row r="261" ht="14.25" customHeight="1" s="89"/>
    <row r="262" ht="14.25" customHeight="1" s="89"/>
    <row r="263" ht="14.25" customHeight="1" s="89"/>
    <row r="264" ht="14.25" customHeight="1" s="89"/>
    <row r="265" ht="14.25" customHeight="1" s="89"/>
    <row r="266" ht="14.25" customHeight="1" s="89"/>
    <row r="267" ht="14.25" customHeight="1" s="89"/>
    <row r="268" ht="14.25" customHeight="1" s="89"/>
    <row r="269" ht="14.25" customHeight="1" s="89"/>
    <row r="270" ht="14.25" customHeight="1" s="89"/>
    <row r="271" ht="14.25" customHeight="1" s="89"/>
    <row r="272" ht="14.25" customHeight="1" s="89"/>
    <row r="273" ht="14.25" customHeight="1" s="89"/>
    <row r="274" ht="14.25" customHeight="1" s="89"/>
    <row r="275" ht="14.25" customHeight="1" s="89"/>
    <row r="276" ht="14.25" customHeight="1" s="89"/>
    <row r="277" ht="14.25" customHeight="1" s="89"/>
    <row r="278" ht="14.25" customHeight="1" s="89"/>
    <row r="279" ht="14.25" customHeight="1" s="89"/>
    <row r="280" ht="14.25" customHeight="1" s="89"/>
    <row r="281" ht="14.25" customHeight="1" s="89"/>
    <row r="282" ht="14.25" customHeight="1" s="89"/>
    <row r="283" ht="14.25" customHeight="1" s="89"/>
    <row r="284" ht="14.25" customHeight="1" s="89"/>
    <row r="285" ht="14.25" customHeight="1" s="89"/>
    <row r="286" ht="14.25" customHeight="1" s="89"/>
    <row r="287" ht="14.25" customHeight="1" s="89"/>
    <row r="288" ht="14.25" customHeight="1" s="89"/>
    <row r="289" ht="14.25" customHeight="1" s="89"/>
    <row r="290" ht="14.25" customHeight="1" s="89"/>
    <row r="291" ht="14.25" customHeight="1" s="89"/>
    <row r="292" ht="14.25" customHeight="1" s="89"/>
    <row r="293" ht="14.25" customHeight="1" s="89"/>
    <row r="294" ht="14.25" customHeight="1" s="89"/>
    <row r="295" ht="14.25" customHeight="1" s="89"/>
    <row r="296" ht="14.25" customHeight="1" s="89"/>
    <row r="297" ht="14.25" customHeight="1" s="89"/>
    <row r="298" ht="14.25" customHeight="1" s="89"/>
    <row r="299" ht="14.25" customHeight="1" s="89"/>
    <row r="300" ht="14.25" customHeight="1" s="89"/>
    <row r="301" ht="14.25" customHeight="1" s="89"/>
    <row r="302" ht="14.25" customHeight="1" s="89"/>
    <row r="303" ht="14.25" customHeight="1" s="89"/>
    <row r="304" ht="14.25" customHeight="1" s="89"/>
    <row r="305" ht="14.25" customHeight="1" s="89"/>
    <row r="306" ht="14.25" customHeight="1" s="89"/>
    <row r="307" ht="14.25" customHeight="1" s="89"/>
    <row r="308" ht="14.25" customHeight="1" s="89"/>
    <row r="309" ht="14.25" customHeight="1" s="89"/>
    <row r="310" ht="14.25" customHeight="1" s="89"/>
    <row r="311" ht="14.25" customHeight="1" s="89"/>
    <row r="312" ht="14.25" customHeight="1" s="89"/>
    <row r="313" ht="14.25" customHeight="1" s="89"/>
    <row r="314" ht="14.25" customHeight="1" s="89"/>
    <row r="315" ht="14.25" customHeight="1" s="89"/>
    <row r="316" ht="14.25" customHeight="1" s="89"/>
    <row r="317" ht="14.25" customHeight="1" s="89"/>
    <row r="318" ht="14.25" customHeight="1" s="89"/>
    <row r="319" ht="14.25" customHeight="1" s="89"/>
    <row r="320" ht="14.25" customHeight="1" s="89"/>
    <row r="321" ht="14.25" customHeight="1" s="89"/>
    <row r="322" ht="14.25" customHeight="1" s="89"/>
    <row r="323" ht="14.25" customHeight="1" s="89"/>
    <row r="324" ht="14.25" customHeight="1" s="89"/>
    <row r="325" ht="14.25" customHeight="1" s="89"/>
    <row r="326" ht="14.25" customHeight="1" s="89"/>
    <row r="327" ht="14.25" customHeight="1" s="89"/>
    <row r="328" ht="14.25" customHeight="1" s="89"/>
    <row r="329" ht="14.25" customHeight="1" s="89"/>
    <row r="330" ht="14.25" customHeight="1" s="89"/>
    <row r="331" ht="14.25" customHeight="1" s="89"/>
    <row r="332" ht="14.25" customHeight="1" s="89"/>
    <row r="333" ht="14.25" customHeight="1" s="89"/>
    <row r="334" ht="14.25" customHeight="1" s="89"/>
    <row r="335" ht="14.25" customHeight="1" s="89"/>
    <row r="336" ht="14.25" customHeight="1" s="89"/>
    <row r="337" ht="14.25" customHeight="1" s="89"/>
    <row r="338" ht="14.25" customHeight="1" s="89"/>
    <row r="339" ht="14.25" customHeight="1" s="89"/>
    <row r="340" ht="14.25" customHeight="1" s="89"/>
    <row r="341" ht="14.25" customHeight="1" s="89"/>
    <row r="342" ht="14.25" customHeight="1" s="89"/>
    <row r="343" ht="14.25" customHeight="1" s="89"/>
    <row r="344" ht="14.25" customHeight="1" s="89"/>
    <row r="345" ht="14.25" customHeight="1" s="89"/>
    <row r="346" ht="14.25" customHeight="1" s="89"/>
    <row r="347" ht="14.25" customHeight="1" s="89"/>
    <row r="348" ht="14.25" customHeight="1" s="89"/>
    <row r="349" ht="14.25" customHeight="1" s="89"/>
    <row r="350" ht="14.25" customHeight="1" s="89"/>
    <row r="351" ht="14.25" customHeight="1" s="89"/>
    <row r="352" ht="14.25" customHeight="1" s="89"/>
    <row r="353" ht="14.25" customHeight="1" s="89"/>
    <row r="354" ht="14.25" customHeight="1" s="89"/>
    <row r="355" ht="14.25" customHeight="1" s="89"/>
    <row r="356" ht="14.25" customHeight="1" s="89"/>
    <row r="357" ht="14.25" customHeight="1" s="89"/>
    <row r="358" ht="14.25" customHeight="1" s="89"/>
    <row r="359" ht="14.25" customHeight="1" s="89"/>
    <row r="360" ht="14.25" customHeight="1" s="89"/>
    <row r="361" ht="14.25" customHeight="1" s="89"/>
    <row r="362" ht="14.25" customHeight="1" s="89"/>
    <row r="363" ht="14.25" customHeight="1" s="89"/>
    <row r="364" ht="14.25" customHeight="1" s="89"/>
    <row r="365" ht="14.25" customHeight="1" s="89"/>
    <row r="366" ht="14.25" customHeight="1" s="89"/>
    <row r="367" ht="14.25" customHeight="1" s="89"/>
    <row r="368" ht="14.25" customHeight="1" s="89"/>
    <row r="369" ht="14.25" customHeight="1" s="89"/>
    <row r="370" ht="14.25" customHeight="1" s="89"/>
    <row r="371" ht="14.25" customHeight="1" s="89"/>
    <row r="372" ht="14.25" customHeight="1" s="89"/>
    <row r="373" ht="14.25" customHeight="1" s="89"/>
    <row r="374" ht="14.25" customHeight="1" s="89"/>
    <row r="375" ht="14.25" customHeight="1" s="89"/>
    <row r="376" ht="14.25" customHeight="1" s="89"/>
    <row r="377" ht="14.25" customHeight="1" s="89"/>
    <row r="378" ht="14.25" customHeight="1" s="89"/>
    <row r="379" ht="14.25" customHeight="1" s="89"/>
    <row r="380" ht="14.25" customHeight="1" s="89"/>
    <row r="381" ht="14.25" customHeight="1" s="89"/>
    <row r="382" ht="14.25" customHeight="1" s="89"/>
    <row r="383" ht="14.25" customHeight="1" s="89"/>
    <row r="384" ht="14.25" customHeight="1" s="89"/>
    <row r="385" ht="14.25" customHeight="1" s="89"/>
    <row r="386" ht="14.25" customHeight="1" s="89"/>
    <row r="387" ht="14.25" customHeight="1" s="89"/>
    <row r="388" ht="14.25" customHeight="1" s="89"/>
    <row r="389" ht="14.25" customHeight="1" s="89"/>
    <row r="390" ht="14.25" customHeight="1" s="89"/>
    <row r="391" ht="14.25" customHeight="1" s="89"/>
    <row r="392" ht="14.25" customHeight="1" s="89"/>
    <row r="393" ht="14.25" customHeight="1" s="89"/>
    <row r="394" ht="14.25" customHeight="1" s="89"/>
    <row r="395" ht="14.25" customHeight="1" s="89"/>
    <row r="396" ht="14.25" customHeight="1" s="89"/>
    <row r="397" ht="14.25" customHeight="1" s="89"/>
    <row r="398" ht="14.25" customHeight="1" s="89"/>
    <row r="399" ht="14.25" customHeight="1" s="89"/>
    <row r="400" ht="14.25" customHeight="1" s="89"/>
    <row r="401" ht="14.25" customHeight="1" s="89"/>
    <row r="402" ht="14.25" customHeight="1" s="89"/>
    <row r="403" ht="14.25" customHeight="1" s="89"/>
    <row r="404" ht="14.25" customHeight="1" s="89"/>
    <row r="405" ht="14.25" customHeight="1" s="89"/>
    <row r="406" ht="14.25" customHeight="1" s="89"/>
    <row r="407" ht="14.25" customHeight="1" s="89"/>
    <row r="408" ht="14.25" customHeight="1" s="89"/>
    <row r="409" ht="14.25" customHeight="1" s="89"/>
    <row r="410" ht="14.25" customHeight="1" s="89"/>
    <row r="411" ht="14.25" customHeight="1" s="89"/>
    <row r="412" ht="14.25" customHeight="1" s="89"/>
    <row r="413" ht="14.25" customHeight="1" s="89"/>
    <row r="414" ht="14.25" customHeight="1" s="89"/>
    <row r="415" ht="14.25" customHeight="1" s="89"/>
    <row r="416" ht="14.25" customHeight="1" s="89"/>
    <row r="417" ht="14.25" customHeight="1" s="89"/>
    <row r="418" ht="14.25" customHeight="1" s="89"/>
    <row r="419" ht="14.25" customHeight="1" s="89"/>
    <row r="420" ht="14.25" customHeight="1" s="89"/>
    <row r="421" ht="14.25" customHeight="1" s="89"/>
    <row r="422" ht="14.25" customHeight="1" s="89"/>
    <row r="423" ht="14.25" customHeight="1" s="89"/>
    <row r="424" ht="14.25" customHeight="1" s="89"/>
    <row r="425" ht="14.25" customHeight="1" s="89"/>
    <row r="426" ht="14.25" customHeight="1" s="89"/>
    <row r="427" ht="14.25" customHeight="1" s="89"/>
    <row r="428" ht="14.25" customHeight="1" s="89"/>
    <row r="429" ht="14.25" customHeight="1" s="89"/>
    <row r="430" ht="14.25" customHeight="1" s="89"/>
    <row r="431" ht="14.25" customHeight="1" s="89"/>
    <row r="432" ht="14.25" customHeight="1" s="89"/>
    <row r="433" ht="14.25" customHeight="1" s="89"/>
    <row r="434" ht="14.25" customHeight="1" s="89"/>
    <row r="435" ht="14.25" customHeight="1" s="89"/>
    <row r="436" ht="14.25" customHeight="1" s="89"/>
    <row r="437" ht="14.25" customHeight="1" s="89"/>
    <row r="438" ht="14.25" customHeight="1" s="89"/>
    <row r="439" ht="14.25" customHeight="1" s="89"/>
    <row r="440" ht="14.25" customHeight="1" s="89"/>
    <row r="441" ht="14.25" customHeight="1" s="89"/>
    <row r="442" ht="14.25" customHeight="1" s="89"/>
    <row r="443" ht="14.25" customHeight="1" s="89"/>
    <row r="444" ht="14.25" customHeight="1" s="89"/>
    <row r="445" ht="14.25" customHeight="1" s="89"/>
    <row r="446" ht="14.25" customHeight="1" s="89"/>
    <row r="447" ht="14.25" customHeight="1" s="89"/>
    <row r="448" ht="14.25" customHeight="1" s="89"/>
    <row r="449" ht="14.25" customHeight="1" s="89"/>
    <row r="450" ht="14.25" customHeight="1" s="89"/>
    <row r="451" ht="14.25" customHeight="1" s="89"/>
    <row r="452" ht="14.25" customHeight="1" s="89"/>
    <row r="453" ht="14.25" customHeight="1" s="89"/>
    <row r="454" ht="14.25" customHeight="1" s="89"/>
    <row r="455" ht="14.25" customHeight="1" s="89"/>
    <row r="456" ht="14.25" customHeight="1" s="89"/>
    <row r="457" ht="14.25" customHeight="1" s="89"/>
    <row r="458" ht="14.25" customHeight="1" s="89"/>
    <row r="459" ht="14.25" customHeight="1" s="89"/>
    <row r="460" ht="14.25" customHeight="1" s="89"/>
    <row r="461" ht="14.25" customHeight="1" s="89"/>
    <row r="462" ht="14.25" customHeight="1" s="89"/>
    <row r="463" ht="14.25" customHeight="1" s="89"/>
    <row r="464" ht="14.25" customHeight="1" s="89"/>
    <row r="465" ht="14.25" customHeight="1" s="89"/>
    <row r="466" ht="14.25" customHeight="1" s="89"/>
    <row r="467" ht="14.25" customHeight="1" s="89"/>
    <row r="468" ht="14.25" customHeight="1" s="89"/>
    <row r="469" ht="14.25" customHeight="1" s="89"/>
    <row r="470" ht="14.25" customHeight="1" s="89"/>
    <row r="471" ht="14.25" customHeight="1" s="89"/>
    <row r="472" ht="14.25" customHeight="1" s="89"/>
    <row r="473" ht="14.25" customHeight="1" s="89"/>
    <row r="474" ht="14.25" customHeight="1" s="89"/>
    <row r="475" ht="14.25" customHeight="1" s="89"/>
    <row r="476" ht="14.25" customHeight="1" s="89"/>
    <row r="477" ht="14.25" customHeight="1" s="89"/>
    <row r="478" ht="14.25" customHeight="1" s="89"/>
    <row r="479" ht="14.25" customHeight="1" s="89"/>
    <row r="480" ht="14.25" customHeight="1" s="89"/>
    <row r="481" ht="14.25" customHeight="1" s="89"/>
    <row r="482" ht="14.25" customHeight="1" s="89"/>
    <row r="483" ht="14.25" customHeight="1" s="89"/>
    <row r="484" ht="14.25" customHeight="1" s="89"/>
    <row r="485" ht="14.25" customHeight="1" s="89"/>
    <row r="486" ht="14.25" customHeight="1" s="89"/>
    <row r="487" ht="14.25" customHeight="1" s="89"/>
    <row r="488" ht="14.25" customHeight="1" s="89"/>
    <row r="489" ht="14.25" customHeight="1" s="89"/>
    <row r="490" ht="14.25" customHeight="1" s="89"/>
    <row r="491" ht="14.25" customHeight="1" s="89"/>
    <row r="492" ht="14.25" customHeight="1" s="89"/>
    <row r="493" ht="14.25" customHeight="1" s="89"/>
    <row r="494" ht="14.25" customHeight="1" s="89"/>
    <row r="495" ht="14.25" customHeight="1" s="89"/>
    <row r="496" ht="14.25" customHeight="1" s="89"/>
    <row r="497" ht="14.25" customHeight="1" s="89"/>
    <row r="498" ht="14.25" customHeight="1" s="89"/>
    <row r="499" ht="14.25" customHeight="1" s="89"/>
    <row r="500" ht="14.25" customHeight="1" s="89"/>
    <row r="501" ht="14.25" customHeight="1" s="89"/>
    <row r="502" ht="14.25" customHeight="1" s="89"/>
    <row r="503" ht="14.25" customHeight="1" s="89"/>
    <row r="504" ht="14.25" customHeight="1" s="89"/>
    <row r="505" ht="14.25" customHeight="1" s="89"/>
    <row r="506" ht="14.25" customHeight="1" s="89"/>
    <row r="507" ht="14.25" customHeight="1" s="89"/>
    <row r="508" ht="14.25" customHeight="1" s="89"/>
    <row r="509" ht="14.25" customHeight="1" s="89"/>
    <row r="510" ht="14.25" customHeight="1" s="89"/>
    <row r="511" ht="14.25" customHeight="1" s="89"/>
    <row r="512" ht="14.25" customHeight="1" s="89"/>
    <row r="513" ht="14.25" customHeight="1" s="89"/>
    <row r="514" ht="14.25" customHeight="1" s="89"/>
    <row r="515" ht="14.25" customHeight="1" s="89"/>
    <row r="516" ht="14.25" customHeight="1" s="89"/>
    <row r="517" ht="14.25" customHeight="1" s="89"/>
    <row r="518" ht="14.25" customHeight="1" s="89"/>
    <row r="519" ht="14.25" customHeight="1" s="89"/>
    <row r="520" ht="14.25" customHeight="1" s="89"/>
    <row r="521" ht="14.25" customHeight="1" s="89"/>
    <row r="522" ht="14.25" customHeight="1" s="89"/>
    <row r="523" ht="14.25" customHeight="1" s="89"/>
    <row r="524" ht="14.25" customHeight="1" s="89"/>
    <row r="525" ht="14.25" customHeight="1" s="89"/>
    <row r="526" ht="14.25" customHeight="1" s="89"/>
    <row r="527" ht="14.25" customHeight="1" s="89"/>
    <row r="528" ht="14.25" customHeight="1" s="89"/>
    <row r="529" ht="14.25" customHeight="1" s="89"/>
    <row r="530" ht="14.25" customHeight="1" s="89"/>
    <row r="531" ht="14.25" customHeight="1" s="89"/>
    <row r="532" ht="14.25" customHeight="1" s="89"/>
    <row r="533" ht="14.25" customHeight="1" s="89"/>
    <row r="534" ht="14.25" customHeight="1" s="89"/>
    <row r="535" ht="14.25" customHeight="1" s="89"/>
    <row r="536" ht="14.25" customHeight="1" s="89"/>
    <row r="537" ht="14.25" customHeight="1" s="89"/>
    <row r="538" ht="14.25" customHeight="1" s="89"/>
    <row r="539" ht="14.25" customHeight="1" s="89"/>
    <row r="540" ht="14.25" customHeight="1" s="89"/>
    <row r="541" ht="14.25" customHeight="1" s="89"/>
    <row r="542" ht="14.25" customHeight="1" s="89"/>
    <row r="543" ht="14.25" customHeight="1" s="89"/>
    <row r="544" ht="14.25" customHeight="1" s="89"/>
    <row r="545" ht="14.25" customHeight="1" s="89"/>
    <row r="546" ht="14.25" customHeight="1" s="89"/>
    <row r="547" ht="14.25" customHeight="1" s="89"/>
    <row r="548" ht="14.25" customHeight="1" s="89"/>
    <row r="549" ht="14.25" customHeight="1" s="89"/>
    <row r="550" ht="14.25" customHeight="1" s="89"/>
    <row r="551" ht="14.25" customHeight="1" s="89"/>
    <row r="552" ht="14.25" customHeight="1" s="89"/>
    <row r="553" ht="14.25" customHeight="1" s="89"/>
    <row r="554" ht="14.25" customHeight="1" s="89"/>
    <row r="555" ht="14.25" customHeight="1" s="89"/>
    <row r="556" ht="14.25" customHeight="1" s="89"/>
    <row r="557" ht="14.25" customHeight="1" s="89"/>
    <row r="558" ht="14.25" customHeight="1" s="89"/>
    <row r="559" ht="14.25" customHeight="1" s="89"/>
    <row r="560" ht="14.25" customHeight="1" s="89"/>
    <row r="561" ht="14.25" customHeight="1" s="89"/>
    <row r="562" ht="14.25" customHeight="1" s="89"/>
    <row r="563" ht="14.25" customHeight="1" s="89"/>
    <row r="564" ht="14.25" customHeight="1" s="89"/>
    <row r="565" ht="14.25" customHeight="1" s="89"/>
    <row r="566" ht="14.25" customHeight="1" s="89"/>
    <row r="567" ht="14.25" customHeight="1" s="89"/>
    <row r="568" ht="14.25" customHeight="1" s="89"/>
    <row r="569" ht="14.25" customHeight="1" s="89"/>
    <row r="570" ht="14.25" customHeight="1" s="89"/>
    <row r="571" ht="14.25" customHeight="1" s="89"/>
    <row r="572" ht="14.25" customHeight="1" s="89"/>
    <row r="573" ht="14.25" customHeight="1" s="89"/>
    <row r="574" ht="14.25" customHeight="1" s="89"/>
    <row r="575" ht="14.25" customHeight="1" s="89"/>
    <row r="576" ht="14.25" customHeight="1" s="89"/>
    <row r="577" ht="14.25" customHeight="1" s="89"/>
    <row r="578" ht="14.25" customHeight="1" s="89"/>
    <row r="579" ht="14.25" customHeight="1" s="89"/>
    <row r="580" ht="14.25" customHeight="1" s="89"/>
    <row r="581" ht="14.25" customHeight="1" s="89"/>
    <row r="582" ht="14.25" customHeight="1" s="89"/>
    <row r="583" ht="14.25" customHeight="1" s="89"/>
    <row r="584" ht="14.25" customHeight="1" s="89"/>
    <row r="585" ht="14.25" customHeight="1" s="89"/>
    <row r="586" ht="14.25" customHeight="1" s="89"/>
    <row r="587" ht="14.25" customHeight="1" s="89"/>
    <row r="588" ht="14.25" customHeight="1" s="89"/>
    <row r="589" ht="14.25" customHeight="1" s="89"/>
    <row r="590" ht="14.25" customHeight="1" s="89"/>
    <row r="591" ht="14.25" customHeight="1" s="89"/>
    <row r="592" ht="14.25" customHeight="1" s="89"/>
    <row r="593" ht="14.25" customHeight="1" s="89"/>
    <row r="594" ht="14.25" customHeight="1" s="89"/>
    <row r="595" ht="14.25" customHeight="1" s="89"/>
    <row r="596" ht="14.25" customHeight="1" s="89"/>
    <row r="597" ht="14.25" customHeight="1" s="89"/>
    <row r="598" ht="14.25" customHeight="1" s="89"/>
    <row r="599" ht="14.25" customHeight="1" s="89"/>
    <row r="600" ht="14.25" customHeight="1" s="89"/>
    <row r="601" ht="14.25" customHeight="1" s="89"/>
    <row r="602" ht="14.25" customHeight="1" s="89"/>
    <row r="603" ht="14.25" customHeight="1" s="89"/>
    <row r="604" ht="14.25" customHeight="1" s="89"/>
    <row r="605" ht="14.25" customHeight="1" s="89"/>
    <row r="606" ht="14.25" customHeight="1" s="89"/>
    <row r="607" ht="14.25" customHeight="1" s="89"/>
    <row r="608" ht="14.25" customHeight="1" s="89"/>
    <row r="609" ht="14.25" customHeight="1" s="89"/>
    <row r="610" ht="14.25" customHeight="1" s="89"/>
    <row r="611" ht="14.25" customHeight="1" s="89"/>
    <row r="612" ht="14.25" customHeight="1" s="89"/>
    <row r="613" ht="14.25" customHeight="1" s="89"/>
    <row r="614" ht="14.25" customHeight="1" s="89"/>
    <row r="615" ht="14.25" customHeight="1" s="89"/>
    <row r="616" ht="14.25" customHeight="1" s="89"/>
    <row r="617" ht="14.25" customHeight="1" s="89"/>
    <row r="618" ht="14.25" customHeight="1" s="89"/>
    <row r="619" ht="14.25" customHeight="1" s="89"/>
    <row r="620" ht="14.25" customHeight="1" s="89"/>
    <row r="621" ht="14.25" customHeight="1" s="89"/>
    <row r="622" ht="14.25" customHeight="1" s="89"/>
    <row r="623" ht="14.25" customHeight="1" s="89"/>
    <row r="624" ht="14.25" customHeight="1" s="89"/>
    <row r="625" ht="14.25" customHeight="1" s="89"/>
    <row r="626" ht="14.25" customHeight="1" s="89"/>
    <row r="627" ht="14.25" customHeight="1" s="89"/>
    <row r="628" ht="14.25" customHeight="1" s="89"/>
    <row r="629" ht="14.25" customHeight="1" s="89"/>
    <row r="630" ht="14.25" customHeight="1" s="89"/>
    <row r="631" ht="14.25" customHeight="1" s="89"/>
    <row r="632" ht="14.25" customHeight="1" s="89"/>
    <row r="633" ht="14.25" customHeight="1" s="89"/>
    <row r="634" ht="14.25" customHeight="1" s="89"/>
    <row r="635" ht="14.25" customHeight="1" s="89"/>
    <row r="636" ht="14.25" customHeight="1" s="89"/>
    <row r="637" ht="14.25" customHeight="1" s="89"/>
    <row r="638" ht="14.25" customHeight="1" s="89"/>
    <row r="639" ht="14.25" customHeight="1" s="89"/>
    <row r="640" ht="14.25" customHeight="1" s="89"/>
    <row r="641" ht="14.25" customHeight="1" s="89"/>
    <row r="642" ht="14.25" customHeight="1" s="89"/>
    <row r="643" ht="14.25" customHeight="1" s="89"/>
    <row r="644" ht="14.25" customHeight="1" s="89"/>
    <row r="645" ht="14.25" customHeight="1" s="89"/>
    <row r="646" ht="14.25" customHeight="1" s="89"/>
    <row r="647" ht="14.25" customHeight="1" s="89"/>
    <row r="648" ht="14.25" customHeight="1" s="89"/>
    <row r="649" ht="14.25" customHeight="1" s="89"/>
    <row r="650" ht="14.25" customHeight="1" s="89"/>
    <row r="651" ht="14.25" customHeight="1" s="89"/>
    <row r="652" ht="14.25" customHeight="1" s="89"/>
    <row r="653" ht="14.25" customHeight="1" s="89"/>
    <row r="654" ht="14.25" customHeight="1" s="89"/>
    <row r="655" ht="14.25" customHeight="1" s="89"/>
    <row r="656" ht="14.25" customHeight="1" s="89"/>
    <row r="657" ht="14.25" customHeight="1" s="89"/>
    <row r="658" ht="14.25" customHeight="1" s="89"/>
    <row r="659" ht="14.25" customHeight="1" s="89"/>
    <row r="660" ht="14.25" customHeight="1" s="89"/>
    <row r="661" ht="14.25" customHeight="1" s="89"/>
    <row r="662" ht="14.25" customHeight="1" s="89"/>
    <row r="663" ht="14.25" customHeight="1" s="89"/>
    <row r="664" ht="14.25" customHeight="1" s="89"/>
    <row r="665" ht="14.25" customHeight="1" s="89"/>
    <row r="666" ht="14.25" customHeight="1" s="89"/>
    <row r="667" ht="14.25" customHeight="1" s="89"/>
    <row r="668" ht="14.25" customHeight="1" s="89"/>
    <row r="669" ht="14.25" customHeight="1" s="89"/>
    <row r="670" ht="14.25" customHeight="1" s="89"/>
    <row r="671" ht="14.25" customHeight="1" s="89"/>
    <row r="672" ht="14.25" customHeight="1" s="89"/>
    <row r="673" ht="14.25" customHeight="1" s="89"/>
    <row r="674" ht="14.25" customHeight="1" s="89"/>
    <row r="675" ht="14.25" customHeight="1" s="89"/>
    <row r="676" ht="14.25" customHeight="1" s="89"/>
    <row r="677" ht="14.25" customHeight="1" s="89"/>
    <row r="678" ht="14.25" customHeight="1" s="89"/>
    <row r="679" ht="14.25" customHeight="1" s="89"/>
    <row r="680" ht="14.25" customHeight="1" s="89"/>
    <row r="681" ht="14.25" customHeight="1" s="89"/>
    <row r="682" ht="14.25" customHeight="1" s="89"/>
    <row r="683" ht="14.25" customHeight="1" s="89"/>
    <row r="684" ht="14.25" customHeight="1" s="89"/>
    <row r="685" ht="14.25" customHeight="1" s="89"/>
    <row r="686" ht="14.25" customHeight="1" s="89"/>
    <row r="687" ht="14.25" customHeight="1" s="89"/>
    <row r="688" ht="14.25" customHeight="1" s="89"/>
    <row r="689" ht="14.25" customHeight="1" s="89"/>
    <row r="690" ht="14.25" customHeight="1" s="89"/>
    <row r="691" ht="14.25" customHeight="1" s="89"/>
    <row r="692" ht="14.25" customHeight="1" s="89"/>
    <row r="693" ht="14.25" customHeight="1" s="89"/>
    <row r="694" ht="14.25" customHeight="1" s="89"/>
    <row r="695" ht="14.25" customHeight="1" s="89"/>
    <row r="696" ht="14.25" customHeight="1" s="89"/>
    <row r="697" ht="14.25" customHeight="1" s="89"/>
    <row r="698" ht="14.25" customHeight="1" s="89"/>
    <row r="699" ht="14.25" customHeight="1" s="89"/>
    <row r="700" ht="14.25" customHeight="1" s="89"/>
    <row r="701" ht="14.25" customHeight="1" s="89"/>
    <row r="702" ht="14.25" customHeight="1" s="89"/>
    <row r="703" ht="14.25" customHeight="1" s="89"/>
    <row r="704" ht="14.25" customHeight="1" s="89"/>
    <row r="705" ht="14.25" customHeight="1" s="89"/>
    <row r="706" ht="14.25" customHeight="1" s="89"/>
    <row r="707" ht="14.25" customHeight="1" s="89"/>
    <row r="708" ht="14.25" customHeight="1" s="89"/>
    <row r="709" ht="14.25" customHeight="1" s="89"/>
    <row r="710" ht="14.25" customHeight="1" s="89"/>
    <row r="711" ht="14.25" customHeight="1" s="89"/>
    <row r="712" ht="14.25" customHeight="1" s="89"/>
    <row r="713" ht="14.25" customHeight="1" s="89"/>
    <row r="714" ht="14.25" customHeight="1" s="89"/>
    <row r="715" ht="14.25" customHeight="1" s="89"/>
    <row r="716" ht="14.25" customHeight="1" s="89"/>
    <row r="717" ht="14.25" customHeight="1" s="89"/>
    <row r="718" ht="14.25" customHeight="1" s="89"/>
    <row r="719" ht="14.25" customHeight="1" s="89"/>
    <row r="720" ht="14.25" customHeight="1" s="89"/>
    <row r="721" ht="14.25" customHeight="1" s="89"/>
    <row r="722" ht="14.25" customHeight="1" s="89"/>
    <row r="723" ht="14.25" customHeight="1" s="89"/>
    <row r="724" ht="14.25" customHeight="1" s="89"/>
    <row r="725" ht="14.25" customHeight="1" s="89"/>
    <row r="726" ht="14.25" customHeight="1" s="89"/>
    <row r="727" ht="14.25" customHeight="1" s="89"/>
    <row r="728" ht="14.25" customHeight="1" s="89"/>
    <row r="729" ht="14.25" customHeight="1" s="89"/>
    <row r="730" ht="14.25" customHeight="1" s="89"/>
    <row r="731" ht="14.25" customHeight="1" s="89"/>
    <row r="732" ht="14.25" customHeight="1" s="89"/>
    <row r="733" ht="14.25" customHeight="1" s="89"/>
    <row r="734" ht="14.25" customHeight="1" s="89"/>
    <row r="735" ht="14.25" customHeight="1" s="89"/>
    <row r="736" ht="14.25" customHeight="1" s="89"/>
    <row r="737" ht="14.25" customHeight="1" s="89"/>
    <row r="738" ht="14.25" customHeight="1" s="89"/>
    <row r="739" ht="14.25" customHeight="1" s="89"/>
    <row r="740" ht="14.25" customHeight="1" s="89"/>
    <row r="741" ht="14.25" customHeight="1" s="89"/>
    <row r="742" ht="14.25" customHeight="1" s="89"/>
    <row r="743" ht="14.25" customHeight="1" s="89"/>
    <row r="744" ht="14.25" customHeight="1" s="89"/>
    <row r="745" ht="14.25" customHeight="1" s="89"/>
    <row r="746" ht="14.25" customHeight="1" s="89"/>
    <row r="747" ht="14.25" customHeight="1" s="89"/>
    <row r="748" ht="14.25" customHeight="1" s="89"/>
    <row r="749" ht="14.25" customHeight="1" s="89"/>
    <row r="750" ht="14.25" customHeight="1" s="89"/>
    <row r="751" ht="14.25" customHeight="1" s="89"/>
    <row r="752" ht="14.25" customHeight="1" s="89"/>
    <row r="753" ht="14.25" customHeight="1" s="89"/>
    <row r="754" ht="14.25" customHeight="1" s="89"/>
    <row r="755" ht="14.25" customHeight="1" s="89"/>
    <row r="756" ht="14.25" customHeight="1" s="89"/>
    <row r="757" ht="14.25" customHeight="1" s="89"/>
    <row r="758" ht="14.25" customHeight="1" s="89"/>
    <row r="759" ht="14.25" customHeight="1" s="89"/>
    <row r="760" ht="14.25" customHeight="1" s="89"/>
    <row r="761" ht="14.25" customHeight="1" s="89"/>
    <row r="762" ht="14.25" customHeight="1" s="89"/>
    <row r="763" ht="14.25" customHeight="1" s="89"/>
    <row r="764" ht="14.25" customHeight="1" s="89"/>
    <row r="765" ht="14.25" customHeight="1" s="89"/>
    <row r="766" ht="14.25" customHeight="1" s="89"/>
    <row r="767" ht="14.25" customHeight="1" s="89"/>
    <row r="768" ht="14.25" customHeight="1" s="89"/>
    <row r="769" ht="14.25" customHeight="1" s="89"/>
    <row r="770" ht="14.25" customHeight="1" s="89"/>
    <row r="771" ht="14.25" customHeight="1" s="89"/>
    <row r="772" ht="14.25" customHeight="1" s="89"/>
    <row r="773" ht="14.25" customHeight="1" s="89"/>
    <row r="774" ht="14.25" customHeight="1" s="89"/>
    <row r="775" ht="14.25" customHeight="1" s="89"/>
    <row r="776" ht="14.25" customHeight="1" s="89"/>
    <row r="777" ht="14.25" customHeight="1" s="89"/>
    <row r="778" ht="14.25" customHeight="1" s="89"/>
    <row r="779" ht="14.25" customHeight="1" s="89"/>
    <row r="780" ht="14.25" customHeight="1" s="89"/>
    <row r="781" ht="14.25" customHeight="1" s="89"/>
    <row r="782" ht="14.25" customHeight="1" s="89"/>
    <row r="783" ht="14.25" customHeight="1" s="89"/>
    <row r="784" ht="14.25" customHeight="1" s="89"/>
    <row r="785" ht="14.25" customHeight="1" s="89"/>
    <row r="786" ht="14.25" customHeight="1" s="89"/>
    <row r="787" ht="14.25" customHeight="1" s="89"/>
    <row r="788" ht="14.25" customHeight="1" s="89"/>
    <row r="789" ht="14.25" customHeight="1" s="89"/>
    <row r="790" ht="14.25" customHeight="1" s="89"/>
    <row r="791" ht="14.25" customHeight="1" s="89"/>
    <row r="792" ht="14.25" customHeight="1" s="89"/>
    <row r="793" ht="14.25" customHeight="1" s="89"/>
    <row r="794" ht="14.25" customHeight="1" s="89"/>
    <row r="795" ht="14.25" customHeight="1" s="89"/>
    <row r="796" ht="14.25" customHeight="1" s="89"/>
    <row r="797" ht="14.25" customHeight="1" s="89"/>
    <row r="798" ht="14.25" customHeight="1" s="89"/>
    <row r="799" ht="14.25" customHeight="1" s="89"/>
    <row r="800" ht="14.25" customHeight="1" s="89"/>
    <row r="801" ht="14.25" customHeight="1" s="89"/>
    <row r="802" ht="14.25" customHeight="1" s="89"/>
    <row r="803" ht="14.25" customHeight="1" s="89"/>
    <row r="804" ht="14.25" customHeight="1" s="89"/>
    <row r="805" ht="14.25" customHeight="1" s="89"/>
    <row r="806" ht="14.25" customHeight="1" s="89"/>
    <row r="807" ht="14.25" customHeight="1" s="89"/>
    <row r="808" ht="14.25" customHeight="1" s="89"/>
    <row r="809" ht="14.25" customHeight="1" s="89"/>
    <row r="810" ht="14.25" customHeight="1" s="89"/>
    <row r="811" ht="14.25" customHeight="1" s="89"/>
    <row r="812" ht="14.25" customHeight="1" s="89"/>
    <row r="813" ht="14.25" customHeight="1" s="89"/>
    <row r="814" ht="14.25" customHeight="1" s="89"/>
    <row r="815" ht="14.25" customHeight="1" s="89"/>
    <row r="816" ht="14.25" customHeight="1" s="89"/>
    <row r="817" ht="14.25" customHeight="1" s="89"/>
    <row r="818" ht="14.25" customHeight="1" s="89"/>
    <row r="819" ht="14.25" customHeight="1" s="89"/>
    <row r="820" ht="14.25" customHeight="1" s="89"/>
    <row r="821" ht="14.25" customHeight="1" s="89"/>
    <row r="822" ht="14.25" customHeight="1" s="89"/>
    <row r="823" ht="14.25" customHeight="1" s="89"/>
    <row r="824" ht="14.25" customHeight="1" s="89"/>
    <row r="825" ht="14.25" customHeight="1" s="89"/>
    <row r="826" ht="14.25" customHeight="1" s="89"/>
    <row r="827" ht="14.25" customHeight="1" s="89"/>
    <row r="828" ht="14.25" customHeight="1" s="89"/>
    <row r="829" ht="14.25" customHeight="1" s="89"/>
    <row r="830" ht="14.25" customHeight="1" s="89"/>
    <row r="831" ht="14.25" customHeight="1" s="89"/>
    <row r="832" ht="14.25" customHeight="1" s="89"/>
    <row r="833" ht="14.25" customHeight="1" s="89"/>
    <row r="834" ht="14.25" customHeight="1" s="89"/>
    <row r="835" ht="14.25" customHeight="1" s="89"/>
    <row r="836" ht="14.25" customHeight="1" s="89"/>
    <row r="837" ht="14.25" customHeight="1" s="89"/>
    <row r="838" ht="14.25" customHeight="1" s="89"/>
    <row r="839" ht="14.25" customHeight="1" s="89"/>
    <row r="840" ht="14.25" customHeight="1" s="89"/>
    <row r="841" ht="14.25" customHeight="1" s="89"/>
    <row r="842" ht="14.25" customHeight="1" s="89"/>
    <row r="843" ht="14.25" customHeight="1" s="89"/>
    <row r="844" ht="14.25" customHeight="1" s="89"/>
    <row r="845" ht="14.25" customHeight="1" s="89"/>
    <row r="846" ht="14.25" customHeight="1" s="89"/>
    <row r="847" ht="14.25" customHeight="1" s="89"/>
    <row r="848" ht="14.25" customHeight="1" s="89"/>
    <row r="849" ht="14.25" customHeight="1" s="89"/>
    <row r="850" ht="14.25" customHeight="1" s="89"/>
    <row r="851" ht="14.25" customHeight="1" s="89"/>
    <row r="852" ht="14.25" customHeight="1" s="89"/>
    <row r="853" ht="14.25" customHeight="1" s="89"/>
    <row r="854" ht="14.25" customHeight="1" s="89"/>
    <row r="855" ht="14.25" customHeight="1" s="89"/>
    <row r="856" ht="14.25" customHeight="1" s="89"/>
    <row r="857" ht="14.25" customHeight="1" s="89"/>
    <row r="858" ht="14.25" customHeight="1" s="89"/>
    <row r="859" ht="14.25" customHeight="1" s="89"/>
    <row r="860" ht="14.25" customHeight="1" s="89"/>
    <row r="861" ht="14.25" customHeight="1" s="89"/>
    <row r="862" ht="14.25" customHeight="1" s="89"/>
    <row r="863" ht="14.25" customHeight="1" s="89"/>
    <row r="864" ht="14.25" customHeight="1" s="89"/>
    <row r="865" ht="14.25" customHeight="1" s="89"/>
    <row r="866" ht="14.25" customHeight="1" s="89"/>
    <row r="867" ht="14.25" customHeight="1" s="89"/>
    <row r="868" ht="14.25" customHeight="1" s="89"/>
    <row r="869" ht="14.25" customHeight="1" s="89"/>
    <row r="870" ht="14.25" customHeight="1" s="89"/>
    <row r="871" ht="14.25" customHeight="1" s="89"/>
    <row r="872" ht="14.25" customHeight="1" s="89"/>
    <row r="873" ht="14.25" customHeight="1" s="89"/>
    <row r="874" ht="14.25" customHeight="1" s="89"/>
    <row r="875" ht="14.25" customHeight="1" s="89"/>
    <row r="876" ht="14.25" customHeight="1" s="89"/>
    <row r="877" ht="14.25" customHeight="1" s="89"/>
    <row r="878" ht="14.25" customHeight="1" s="89"/>
    <row r="879" ht="14.25" customHeight="1" s="89"/>
    <row r="880" ht="14.25" customHeight="1" s="89"/>
    <row r="881" ht="14.25" customHeight="1" s="89"/>
    <row r="882" ht="14.25" customHeight="1" s="89"/>
    <row r="883" ht="14.25" customHeight="1" s="89"/>
    <row r="884" ht="14.25" customHeight="1" s="89"/>
    <row r="885" ht="14.25" customHeight="1" s="89"/>
    <row r="886" ht="14.25" customHeight="1" s="89"/>
    <row r="887" ht="14.25" customHeight="1" s="89"/>
    <row r="888" ht="14.25" customHeight="1" s="89"/>
    <row r="889" ht="14.25" customHeight="1" s="89"/>
    <row r="890" ht="14.25" customHeight="1" s="89"/>
    <row r="891" ht="14.25" customHeight="1" s="89"/>
    <row r="892" ht="14.25" customHeight="1" s="89"/>
    <row r="893" ht="14.25" customHeight="1" s="89"/>
    <row r="894" ht="14.25" customHeight="1" s="89"/>
    <row r="895" ht="14.25" customHeight="1" s="89"/>
    <row r="896" ht="14.25" customHeight="1" s="89"/>
    <row r="897" ht="14.25" customHeight="1" s="89"/>
    <row r="898" ht="14.25" customHeight="1" s="89"/>
    <row r="899" ht="14.25" customHeight="1" s="89"/>
    <row r="900" ht="14.25" customHeight="1" s="89"/>
    <row r="901" ht="14.25" customHeight="1" s="89"/>
    <row r="902" ht="14.25" customHeight="1" s="89"/>
    <row r="903" ht="14.25" customHeight="1" s="89"/>
    <row r="904" ht="14.25" customHeight="1" s="89"/>
    <row r="905" ht="14.25" customHeight="1" s="89"/>
    <row r="906" ht="14.25" customHeight="1" s="89"/>
    <row r="907" ht="14.25" customHeight="1" s="89"/>
    <row r="908" ht="14.25" customHeight="1" s="89"/>
    <row r="909" ht="14.25" customHeight="1" s="89"/>
    <row r="910" ht="14.25" customHeight="1" s="89"/>
    <row r="911" ht="14.25" customHeight="1" s="89"/>
    <row r="912" ht="14.25" customHeight="1" s="89"/>
    <row r="913" ht="14.25" customHeight="1" s="89"/>
    <row r="914" ht="14.25" customHeight="1" s="89"/>
    <row r="915" ht="14.25" customHeight="1" s="89"/>
    <row r="916" ht="14.25" customHeight="1" s="89"/>
    <row r="917" ht="14.25" customHeight="1" s="89"/>
    <row r="918" ht="14.25" customHeight="1" s="89"/>
    <row r="919" ht="14.25" customHeight="1" s="89"/>
    <row r="920" ht="14.25" customHeight="1" s="89"/>
    <row r="921" ht="14.25" customHeight="1" s="89"/>
    <row r="922" ht="14.25" customHeight="1" s="89"/>
    <row r="923" ht="14.25" customHeight="1" s="89"/>
    <row r="924" ht="14.25" customHeight="1" s="89"/>
    <row r="925" ht="14.25" customHeight="1" s="89"/>
    <row r="926" ht="14.25" customHeight="1" s="89"/>
    <row r="927" ht="14.25" customHeight="1" s="89"/>
    <row r="928" ht="14.25" customHeight="1" s="89"/>
    <row r="929" ht="14.25" customHeight="1" s="89"/>
    <row r="930" ht="14.25" customHeight="1" s="89"/>
    <row r="931" ht="14.25" customHeight="1" s="89"/>
    <row r="932" ht="14.25" customHeight="1" s="89"/>
    <row r="933" ht="14.25" customHeight="1" s="89"/>
    <row r="934" ht="14.25" customHeight="1" s="89"/>
    <row r="935" ht="14.25" customHeight="1" s="89"/>
    <row r="936" ht="14.25" customHeight="1" s="89"/>
    <row r="937" ht="14.25" customHeight="1" s="89"/>
    <row r="938" ht="14.25" customHeight="1" s="89"/>
    <row r="939" ht="14.25" customHeight="1" s="89"/>
    <row r="940" ht="14.25" customHeight="1" s="89"/>
    <row r="941" ht="14.25" customHeight="1" s="89"/>
    <row r="942" ht="14.25" customHeight="1" s="89"/>
    <row r="943" ht="14.25" customHeight="1" s="89"/>
    <row r="944" ht="14.25" customHeight="1" s="89"/>
    <row r="945" ht="14.25" customHeight="1" s="89"/>
    <row r="946" ht="14.25" customHeight="1" s="89"/>
    <row r="947" ht="14.25" customHeight="1" s="89"/>
    <row r="948" ht="14.25" customHeight="1" s="89"/>
    <row r="949" ht="14.25" customHeight="1" s="89"/>
    <row r="950" ht="14.25" customHeight="1" s="89"/>
    <row r="951" ht="14.25" customHeight="1" s="89"/>
    <row r="952" ht="14.25" customHeight="1" s="89"/>
    <row r="953" ht="14.25" customHeight="1" s="89"/>
    <row r="954" ht="14.25" customHeight="1" s="89"/>
    <row r="955" ht="14.25" customHeight="1" s="89"/>
    <row r="956" ht="14.25" customHeight="1" s="89"/>
    <row r="957" ht="14.25" customHeight="1" s="89"/>
    <row r="958" ht="14.25" customHeight="1" s="89"/>
    <row r="959" ht="14.25" customHeight="1" s="89"/>
    <row r="960" ht="14.25" customHeight="1" s="89"/>
    <row r="961" ht="14.25" customHeight="1" s="89"/>
    <row r="962" ht="14.25" customHeight="1" s="89"/>
    <row r="963" ht="14.25" customHeight="1" s="89"/>
    <row r="964" ht="14.25" customHeight="1" s="89"/>
    <row r="965" ht="14.25" customHeight="1" s="89"/>
    <row r="966" ht="14.25" customHeight="1" s="89"/>
    <row r="967" ht="14.25" customHeight="1" s="89"/>
    <row r="968" ht="14.25" customHeight="1" s="89"/>
    <row r="969" ht="14.25" customHeight="1" s="89"/>
    <row r="970" ht="14.25" customHeight="1" s="89"/>
    <row r="971" ht="14.25" customHeight="1" s="89"/>
    <row r="972" ht="14.25" customHeight="1" s="89"/>
    <row r="973" ht="14.25" customHeight="1" s="89"/>
    <row r="974" ht="14.25" customHeight="1" s="89"/>
    <row r="975" ht="14.25" customHeight="1" s="89"/>
    <row r="976" ht="14.25" customHeight="1" s="89"/>
    <row r="977" ht="14.25" customHeight="1" s="89"/>
    <row r="978" ht="14.25" customHeight="1" s="89"/>
    <row r="979" ht="14.25" customHeight="1" s="89"/>
    <row r="980" ht="14.25" customHeight="1" s="89"/>
    <row r="981" ht="14.25" customHeight="1" s="89"/>
    <row r="982" ht="14.25" customHeight="1" s="89"/>
    <row r="983" ht="14.25" customHeight="1" s="89"/>
    <row r="984" ht="14.25" customHeight="1" s="89"/>
    <row r="985" ht="14.25" customHeight="1" s="89"/>
    <row r="986" ht="14.25" customHeight="1" s="89"/>
    <row r="987" ht="14.25" customHeight="1" s="89"/>
    <row r="988" ht="14.25" customHeight="1" s="89"/>
    <row r="989" ht="14.25" customHeight="1" s="89"/>
    <row r="990" ht="14.25" customHeight="1" s="89"/>
    <row r="991" ht="14.25" customHeight="1" s="89"/>
    <row r="992" ht="14.25" customHeight="1" s="89"/>
    <row r="993" ht="14.25" customHeight="1" s="89"/>
    <row r="994" ht="14.25" customHeight="1" s="89"/>
    <row r="995" ht="14.25" customHeight="1" s="89"/>
    <row r="996" ht="14.25" customHeight="1" s="89"/>
    <row r="997" ht="14.25" customHeight="1" s="89"/>
    <row r="998" ht="14.25" customHeight="1" s="89"/>
    <row r="999" ht="14.25" customHeight="1" s="89"/>
    <row r="1000" ht="14.25" customHeight="1" s="89"/>
  </sheetData>
  <mergeCells count="34">
    <mergeCell ref="A24:B24"/>
    <mergeCell ref="A30:B30"/>
    <mergeCell ref="A15:B15"/>
    <mergeCell ref="A4:D4"/>
    <mergeCell ref="B8:D8"/>
    <mergeCell ref="A11:B11"/>
    <mergeCell ref="C20:D20"/>
    <mergeCell ref="A16:B16"/>
    <mergeCell ref="A25:B25"/>
    <mergeCell ref="B9:D9"/>
    <mergeCell ref="A18:B18"/>
    <mergeCell ref="A27:B27"/>
    <mergeCell ref="A12:B12"/>
    <mergeCell ref="A10:C10"/>
    <mergeCell ref="A1:D1"/>
    <mergeCell ref="A26:B26"/>
    <mergeCell ref="A21:B21"/>
    <mergeCell ref="A8:A9"/>
    <mergeCell ref="A6:D6"/>
    <mergeCell ref="C11:D11"/>
    <mergeCell ref="A32:B32"/>
    <mergeCell ref="A7:D7"/>
    <mergeCell ref="A14:B14"/>
    <mergeCell ref="A17:B17"/>
    <mergeCell ref="A23:B23"/>
    <mergeCell ref="A22:B22"/>
    <mergeCell ref="A20:B20"/>
    <mergeCell ref="C32:D32"/>
    <mergeCell ref="A29:B29"/>
    <mergeCell ref="A19:B19"/>
    <mergeCell ref="A28:B28"/>
    <mergeCell ref="A13:B13"/>
    <mergeCell ref="A2:D2"/>
    <mergeCell ref="A31:B31"/>
  </mergeCells>
  <dataValidations count="1">
    <dataValidation sqref="C14:C16 C21:C29" showDropDown="0" showInputMessage="0" showErrorMessage="1" allowBlank="1" type="list">
      <formula1>$A$51:$A$52</formula1>
    </dataValidation>
  </dataValidations>
  <hyperlinks>
    <hyperlink ref="A33" location="Expenses!A1" display="Next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showGridLines="0" zoomScale="60" zoomScaleNormal="60" workbookViewId="0">
      <pane xSplit="4" ySplit="25" topLeftCell="E26" activePane="bottomRight" state="frozen"/>
      <selection pane="topRight" activeCell="E1" sqref="E1"/>
      <selection pane="bottomLeft" activeCell="A26" sqref="A26"/>
      <selection pane="bottomRight" activeCell="C8" sqref="C8"/>
    </sheetView>
  </sheetViews>
  <sheetFormatPr baseColWidth="10" defaultColWidth="20.81640625" defaultRowHeight="15" customHeight="1"/>
  <cols>
    <col width="20.81640625" customWidth="1" style="119" min="1" max="16384"/>
  </cols>
  <sheetData>
    <row r="1" ht="22.5" customHeight="1" s="89">
      <c r="A1" s="178" t="inlineStr">
        <is>
          <t>Personal Expenses</t>
        </is>
      </c>
      <c r="B1" s="161" t="n"/>
      <c r="C1" s="161" t="n"/>
      <c r="D1" s="161" t="n"/>
      <c r="E1" s="47" t="n"/>
      <c r="F1" s="47" t="n"/>
      <c r="G1" s="47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 ht="18" customHeight="1" s="89">
      <c r="A2" s="179" t="n"/>
      <c r="C2" s="180" t="n"/>
      <c r="D2" s="48" t="n"/>
      <c r="E2" s="49" t="n"/>
      <c r="F2" s="49" t="n"/>
      <c r="G2" s="49" t="n"/>
    </row>
    <row r="3" ht="22.5" customHeight="1" s="89">
      <c r="A3" s="174" t="inlineStr">
        <is>
          <t>Expenses</t>
        </is>
      </c>
      <c r="C3" s="6" t="inlineStr">
        <is>
          <t>Amount</t>
        </is>
      </c>
      <c r="D3" s="50" t="inlineStr">
        <is>
          <t>Label</t>
        </is>
      </c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 ht="18" customHeight="1" s="89">
      <c r="A4" s="64" t="inlineStr">
        <is>
          <t>Work-related Car Expenses</t>
        </is>
      </c>
      <c r="B4" s="170" t="n"/>
      <c r="C4" s="36">
        <f>'D1. Work-related Car Expenses'!C14+'D1. Work-related Car Expenses'!C19</f>
        <v/>
      </c>
      <c r="D4" s="51" t="inlineStr">
        <is>
          <t>D1</t>
        </is>
      </c>
      <c r="E4" s="49" t="n"/>
      <c r="F4" s="49" t="n"/>
      <c r="G4" s="49" t="n"/>
    </row>
    <row r="5" ht="18" customHeight="1" s="89">
      <c r="A5" s="64" t="inlineStr">
        <is>
          <t>Work-related travel expenses</t>
        </is>
      </c>
      <c r="B5" s="170" t="n"/>
      <c r="C5" s="37">
        <f>'D2. Work-related travel expense'!C17</f>
        <v/>
      </c>
      <c r="D5" s="51" t="inlineStr">
        <is>
          <t>D2</t>
        </is>
      </c>
      <c r="E5" s="49" t="n"/>
      <c r="F5" s="49" t="n"/>
      <c r="G5" s="49" t="n"/>
    </row>
    <row r="6" ht="18" customHeight="1" s="89">
      <c r="A6" s="64" t="inlineStr">
        <is>
          <t xml:space="preserve">Work-related clothing, laundry and dry cleaning expenses
</t>
        </is>
      </c>
      <c r="B6" s="170" t="n"/>
      <c r="C6" s="37">
        <f>'D3. Work-related clothing'!C17</f>
        <v/>
      </c>
      <c r="D6" s="51" t="inlineStr">
        <is>
          <t>D3</t>
        </is>
      </c>
      <c r="E6" s="49" t="n"/>
      <c r="F6" s="49" t="n"/>
      <c r="G6" s="49" t="n"/>
    </row>
    <row r="7" ht="18" customHeight="1" s="89">
      <c r="A7" s="64" t="inlineStr">
        <is>
          <t xml:space="preserve">Work-related self-education expenses
</t>
        </is>
      </c>
      <c r="B7" s="170" t="n"/>
      <c r="C7" s="37">
        <f>'D4. Self-education'!C17</f>
        <v/>
      </c>
      <c r="D7" s="51" t="inlineStr">
        <is>
          <t>D4</t>
        </is>
      </c>
      <c r="E7" s="49" t="n"/>
      <c r="F7" s="49" t="n"/>
      <c r="G7" s="49" t="n"/>
    </row>
    <row r="8" ht="18" customHeight="1" s="89">
      <c r="A8" s="64" t="inlineStr">
        <is>
          <t>Other work-related expenses</t>
        </is>
      </c>
      <c r="B8" s="170" t="n"/>
      <c r="C8" s="37">
        <f>'D5. Other work-related expenses'!C17</f>
        <v/>
      </c>
      <c r="D8" s="51" t="inlineStr">
        <is>
          <t>D5</t>
        </is>
      </c>
      <c r="E8" s="49" t="n"/>
      <c r="F8" s="49" t="n"/>
      <c r="G8" s="49" t="n"/>
    </row>
    <row r="9" ht="18" customHeight="1" s="89">
      <c r="A9" s="64" t="inlineStr">
        <is>
          <t>Depreciable expenses</t>
        </is>
      </c>
      <c r="B9" s="170" t="n"/>
      <c r="C9" s="37">
        <f>'D5. Depreciable expenses'!H23</f>
        <v/>
      </c>
      <c r="D9" s="51" t="inlineStr">
        <is>
          <t>D5 - Depreciation</t>
        </is>
      </c>
      <c r="E9" s="49" t="n"/>
      <c r="F9" s="49" t="n"/>
      <c r="G9" s="49" t="n"/>
    </row>
    <row r="10" ht="18" customHeight="1" s="89">
      <c r="A10" s="64" t="inlineStr">
        <is>
          <t>Low value pool deduction</t>
        </is>
      </c>
      <c r="B10" s="170" t="n"/>
      <c r="C10" s="37">
        <f>'D6. Low value pool deduction'!G23</f>
        <v/>
      </c>
      <c r="D10" s="51" t="inlineStr">
        <is>
          <t>D6</t>
        </is>
      </c>
      <c r="E10" s="49" t="n"/>
      <c r="F10" s="49" t="n"/>
      <c r="G10" s="49" t="n"/>
    </row>
    <row r="11" ht="18" customHeight="1" s="89">
      <c r="A11" s="64" t="inlineStr">
        <is>
          <t>Interest deductions</t>
        </is>
      </c>
      <c r="B11" s="170" t="n"/>
      <c r="C11" s="37">
        <f>'D7. Interest deductions'!C17</f>
        <v/>
      </c>
      <c r="D11" s="51" t="inlineStr">
        <is>
          <t>D7</t>
        </is>
      </c>
      <c r="E11" s="49" t="n"/>
      <c r="F11" s="49" t="n"/>
      <c r="G11" s="49" t="n"/>
    </row>
    <row r="12" ht="18" customHeight="1" s="89">
      <c r="A12" s="64" t="inlineStr">
        <is>
          <t>Dividend deductions</t>
        </is>
      </c>
      <c r="B12" s="170" t="n"/>
      <c r="C12" s="37">
        <f>'D8. Dividend deductions'!C17</f>
        <v/>
      </c>
      <c r="D12" s="51" t="inlineStr">
        <is>
          <t>D8</t>
        </is>
      </c>
      <c r="E12" s="49" t="n"/>
      <c r="F12" s="49" t="n"/>
      <c r="G12" s="49" t="n"/>
    </row>
    <row r="13" ht="18" customHeight="1" s="89">
      <c r="A13" s="64" t="inlineStr">
        <is>
          <t>Gifts or donations</t>
        </is>
      </c>
      <c r="B13" s="170" t="n"/>
      <c r="C13" s="37">
        <f>'D9. Gifts or donations'!C17</f>
        <v/>
      </c>
      <c r="D13" s="51" t="inlineStr">
        <is>
          <t>D9</t>
        </is>
      </c>
      <c r="E13" s="49" t="n"/>
      <c r="F13" s="49" t="n"/>
      <c r="G13" s="49" t="n"/>
    </row>
    <row r="14" ht="18" customHeight="1" s="89">
      <c r="A14" s="64" t="inlineStr">
        <is>
          <t>Cost of managing tax affairs</t>
        </is>
      </c>
      <c r="B14" s="170" t="n"/>
      <c r="C14" s="37">
        <f>'D10. Cost of managing tax affai'!C17</f>
        <v/>
      </c>
      <c r="D14" s="51" t="inlineStr">
        <is>
          <t>D10</t>
        </is>
      </c>
      <c r="E14" s="49" t="n"/>
      <c r="F14" s="49" t="n"/>
      <c r="G14" s="49" t="n"/>
    </row>
    <row r="15" ht="18" customHeight="1" s="89">
      <c r="A15" s="64" t="inlineStr">
        <is>
          <t>Deductible amount of UPP of foreign pension or annuity</t>
        </is>
      </c>
      <c r="B15" s="170" t="n"/>
      <c r="C15" s="37">
        <f>'D11. UPP of foreign pension or '!C17</f>
        <v/>
      </c>
      <c r="D15" s="51" t="inlineStr">
        <is>
          <t>D11</t>
        </is>
      </c>
      <c r="E15" s="49" t="n"/>
      <c r="F15" s="49" t="n"/>
      <c r="G15" s="49" t="n"/>
    </row>
    <row r="16" ht="18" customHeight="1" s="89">
      <c r="A16" s="64" t="inlineStr">
        <is>
          <t>Personal superannuation contributions</t>
        </is>
      </c>
      <c r="B16" s="170" t="n"/>
      <c r="C16" s="37">
        <f>'D12. Personal superannuation co'!C17</f>
        <v/>
      </c>
      <c r="D16" s="51" t="inlineStr">
        <is>
          <t>D12</t>
        </is>
      </c>
      <c r="E16" s="49" t="n"/>
      <c r="F16" s="49" t="n"/>
      <c r="G16" s="49" t="n"/>
    </row>
    <row r="17" ht="18" customHeight="1" s="89">
      <c r="A17" s="64" t="inlineStr">
        <is>
          <t>Deduction for project pool</t>
        </is>
      </c>
      <c r="B17" s="170" t="n"/>
      <c r="C17" s="37">
        <f>'D13. Deduction for project pool'!C17</f>
        <v/>
      </c>
      <c r="D17" s="51" t="inlineStr">
        <is>
          <t>D13</t>
        </is>
      </c>
      <c r="E17" s="49" t="n"/>
      <c r="F17" s="49" t="n"/>
      <c r="G17" s="49" t="n"/>
    </row>
    <row r="18" ht="18" customHeight="1" s="89">
      <c r="A18" s="64" t="inlineStr">
        <is>
          <t>Forestry managed investment scheme deduction</t>
        </is>
      </c>
      <c r="B18" s="170" t="n"/>
      <c r="C18" s="37">
        <f>'D14. Forestry managed investmen'!C17</f>
        <v/>
      </c>
      <c r="D18" s="51" t="inlineStr">
        <is>
          <t>D14</t>
        </is>
      </c>
      <c r="E18" s="49" t="n"/>
      <c r="F18" s="49" t="n"/>
      <c r="G18" s="49" t="n"/>
    </row>
    <row r="19" ht="18" customHeight="1" s="89">
      <c r="A19" s="64" t="inlineStr">
        <is>
          <t>Other deductions</t>
        </is>
      </c>
      <c r="B19" s="170" t="n"/>
      <c r="C19" s="37">
        <f>'D15. Other deductions'!C17</f>
        <v/>
      </c>
      <c r="D19" s="51" t="inlineStr">
        <is>
          <t>D15</t>
        </is>
      </c>
      <c r="E19" s="49" t="n"/>
      <c r="F19" s="49" t="n"/>
      <c r="G19" s="49" t="n"/>
    </row>
    <row r="20" ht="18" customHeight="1" s="89">
      <c r="A20" s="64" t="inlineStr">
        <is>
          <t>Tax losses of earlier income year</t>
        </is>
      </c>
      <c r="B20" s="170" t="n"/>
      <c r="C20" s="37">
        <f>'L1. Tax losses of earlier incom'!C17</f>
        <v/>
      </c>
      <c r="D20" s="51" t="inlineStr">
        <is>
          <t>L1</t>
        </is>
      </c>
      <c r="E20" s="49" t="n"/>
      <c r="F20" s="49" t="n"/>
      <c r="G20" s="49" t="n"/>
    </row>
    <row r="21" ht="18" customHeight="1" s="89">
      <c r="A21" s="68" t="inlineStr">
        <is>
          <t>Total Expenses</t>
        </is>
      </c>
      <c r="B21" s="170" t="n"/>
      <c r="C21" s="52">
        <f>SUM(C4:C20)</f>
        <v/>
      </c>
      <c r="D21" s="53" t="n"/>
      <c r="E21" s="49" t="n"/>
      <c r="F21" s="49" t="n"/>
      <c r="G21" s="49" t="n"/>
    </row>
    <row r="22" ht="18" customHeight="1" s="89">
      <c r="A22" s="171" t="n"/>
      <c r="B22" s="172" t="n"/>
      <c r="C22" s="173" t="n"/>
      <c r="D22" s="53" t="n"/>
      <c r="E22" s="49" t="n"/>
      <c r="F22" s="49" t="n"/>
      <c r="G22" s="49" t="n"/>
    </row>
    <row r="23" ht="14.25" customHeight="1" s="89"/>
    <row r="24" ht="14.25" customHeight="1" s="89"/>
    <row r="25" ht="22.5" customHeight="1" s="89">
      <c r="A25" s="54" t="inlineStr">
        <is>
          <t>Navigation</t>
        </is>
      </c>
      <c r="B25" s="55" t="n"/>
      <c r="C25" s="55" t="n"/>
      <c r="D25" s="55" t="n"/>
      <c r="E25" s="56" t="n"/>
      <c r="F25" s="56" t="n"/>
      <c r="G25" s="56" t="n"/>
      <c r="H25" s="57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</row>
    <row r="26" ht="14.25" customHeight="1" s="89">
      <c r="A26" s="58" t="inlineStr">
        <is>
          <t>Next</t>
        </is>
      </c>
      <c r="E26" s="56" t="n"/>
      <c r="F26" s="56" t="n"/>
      <c r="G26" s="56" t="n"/>
      <c r="H26" s="56" t="n"/>
    </row>
    <row r="27" ht="14.25" customHeight="1" s="89">
      <c r="A27" s="38" t="n"/>
    </row>
    <row r="28" ht="14.25" customHeight="1" s="89"/>
    <row r="29" ht="14.25" customHeight="1" s="89"/>
    <row r="30" ht="14.25" customHeight="1" s="89"/>
    <row r="31" ht="14.25" customHeight="1" s="89"/>
    <row r="32" ht="14.25" customHeight="1" s="89"/>
    <row r="33" ht="14.25" customFormat="1" customHeight="1" s="119"/>
    <row r="34" ht="14.25" customFormat="1" customHeight="1" s="119"/>
    <row r="35" ht="14.25" customFormat="1" customHeight="1" s="119"/>
    <row r="36" ht="14.25" customFormat="1" customHeight="1" s="119"/>
    <row r="37" ht="14.25" customFormat="1" customHeight="1" s="119"/>
    <row r="38" ht="14.25" customFormat="1" customHeight="1" s="119"/>
    <row r="39" ht="14.25" customFormat="1" customHeight="1" s="119"/>
    <row r="40" ht="14.25" customFormat="1" customHeight="1" s="119"/>
    <row r="41" ht="14.25" customFormat="1" customHeight="1" s="119"/>
    <row r="42" ht="14.25" customFormat="1" customHeight="1" s="119"/>
    <row r="43" ht="14.25" customFormat="1" customHeight="1" s="119"/>
    <row r="44" ht="14.25" customFormat="1" customHeight="1" s="119"/>
    <row r="45" ht="14.25" customFormat="1" customHeight="1" s="119"/>
    <row r="46" ht="14.25" customFormat="1" customHeight="1" s="119"/>
    <row r="47" ht="14.25" customFormat="1" customHeight="1" s="119"/>
    <row r="48" ht="14.25" customFormat="1" customHeight="1" s="119"/>
    <row r="49" ht="14.25" customFormat="1" customHeight="1" s="119"/>
    <row r="50" ht="14.25" customFormat="1" customHeight="1" s="119"/>
    <row r="51" ht="14.25" customFormat="1" customHeight="1" s="119"/>
    <row r="52" ht="14.25" customFormat="1" customHeight="1" s="119"/>
    <row r="53" ht="14.25" customFormat="1" customHeight="1" s="119"/>
    <row r="54" ht="14.25" customFormat="1" customHeight="1" s="119"/>
    <row r="55" ht="14.25" customFormat="1" customHeight="1" s="119"/>
    <row r="56" ht="14.25" customFormat="1" customHeight="1" s="119"/>
    <row r="57" ht="14.25" customFormat="1" customHeight="1" s="119"/>
    <row r="58" ht="14.25" customFormat="1" customHeight="1" s="119"/>
    <row r="59" ht="14.25" customFormat="1" customHeight="1" s="119"/>
    <row r="60" ht="14.25" customFormat="1" customHeight="1" s="119"/>
    <row r="61" ht="14.25" customFormat="1" customHeight="1" s="119"/>
    <row r="62" ht="14.25" customFormat="1" customHeight="1" s="119"/>
    <row r="63" ht="14.25" customFormat="1" customHeight="1" s="119"/>
    <row r="64" ht="14.25" customFormat="1" customHeight="1" s="119"/>
    <row r="65" ht="14.25" customFormat="1" customHeight="1" s="119"/>
    <row r="66" ht="14.25" customFormat="1" customHeight="1" s="119"/>
    <row r="67" ht="14.25" customFormat="1" customHeight="1" s="119"/>
    <row r="68" ht="14.25" customFormat="1" customHeight="1" s="119"/>
    <row r="69" ht="14.25" customFormat="1" customHeight="1" s="119"/>
    <row r="70" ht="14.25" customFormat="1" customHeight="1" s="119"/>
    <row r="71" ht="14.25" customFormat="1" customHeight="1" s="119"/>
    <row r="72" ht="14.25" customFormat="1" customHeight="1" s="119"/>
    <row r="73" ht="14.25" customFormat="1" customHeight="1" s="119"/>
    <row r="74" ht="14.25" customFormat="1" customHeight="1" s="119"/>
    <row r="75" ht="14.25" customFormat="1" customHeight="1" s="119"/>
    <row r="76" ht="14.25" customFormat="1" customHeight="1" s="119"/>
    <row r="77" ht="14.25" customFormat="1" customHeight="1" s="119"/>
    <row r="78" ht="14.25" customFormat="1" customHeight="1" s="119"/>
    <row r="79" ht="14.25" customFormat="1" customHeight="1" s="119"/>
    <row r="80" ht="14.25" customFormat="1" customHeight="1" s="119"/>
    <row r="81" ht="14.25" customFormat="1" customHeight="1" s="119"/>
    <row r="82" ht="14.25" customFormat="1" customHeight="1" s="119"/>
    <row r="83" ht="14.25" customFormat="1" customHeight="1" s="119"/>
    <row r="84" ht="14.25" customFormat="1" customHeight="1" s="119"/>
    <row r="85" ht="14.25" customFormat="1" customHeight="1" s="119"/>
    <row r="86" ht="14.25" customFormat="1" customHeight="1" s="119"/>
    <row r="87" ht="14.25" customFormat="1" customHeight="1" s="119"/>
    <row r="88" ht="14.25" customFormat="1" customHeight="1" s="119"/>
    <row r="89" ht="14.25" customFormat="1" customHeight="1" s="119"/>
    <row r="90" ht="14.25" customFormat="1" customHeight="1" s="119"/>
    <row r="91" ht="14.25" customFormat="1" customHeight="1" s="119"/>
    <row r="92" ht="14.25" customFormat="1" customHeight="1" s="119"/>
    <row r="93" ht="14.25" customFormat="1" customHeight="1" s="119"/>
    <row r="94" ht="14.25" customFormat="1" customHeight="1" s="119"/>
    <row r="95" ht="14.25" customFormat="1" customHeight="1" s="119"/>
    <row r="96" ht="14.25" customFormat="1" customHeight="1" s="119"/>
    <row r="97" ht="14.25" customFormat="1" customHeight="1" s="119"/>
    <row r="98" ht="14.25" customFormat="1" customHeight="1" s="119"/>
    <row r="99" ht="14.25" customFormat="1" customHeight="1" s="119"/>
    <row r="100" ht="14.25" customFormat="1" customHeight="1" s="119"/>
    <row r="101" ht="14.25" customFormat="1" customHeight="1" s="119"/>
    <row r="102" ht="14.25" customFormat="1" customHeight="1" s="119"/>
    <row r="103" ht="14.25" customFormat="1" customHeight="1" s="119"/>
    <row r="104" ht="14.25" customFormat="1" customHeight="1" s="119"/>
    <row r="105" ht="14.25" customFormat="1" customHeight="1" s="119"/>
    <row r="106" ht="14.25" customFormat="1" customHeight="1" s="119"/>
    <row r="107" ht="14.25" customFormat="1" customHeight="1" s="119"/>
    <row r="108" ht="14.25" customFormat="1" customHeight="1" s="119"/>
    <row r="109" ht="14.25" customFormat="1" customHeight="1" s="119"/>
    <row r="110" ht="14.25" customFormat="1" customHeight="1" s="119"/>
    <row r="111" ht="14.25" customFormat="1" customHeight="1" s="119"/>
    <row r="112" ht="14.25" customFormat="1" customHeight="1" s="119"/>
    <row r="113" ht="14.25" customFormat="1" customHeight="1" s="119"/>
    <row r="114" ht="14.25" customFormat="1" customHeight="1" s="119"/>
    <row r="115" ht="14.25" customFormat="1" customHeight="1" s="119"/>
    <row r="116" ht="14.25" customFormat="1" customHeight="1" s="119"/>
    <row r="117" ht="14.25" customFormat="1" customHeight="1" s="119"/>
    <row r="118" ht="14.25" customFormat="1" customHeight="1" s="119"/>
    <row r="119" ht="14.25" customFormat="1" customHeight="1" s="119"/>
    <row r="120" ht="14.25" customFormat="1" customHeight="1" s="119"/>
    <row r="121" ht="14.25" customFormat="1" customHeight="1" s="119"/>
    <row r="122" ht="14.25" customFormat="1" customHeight="1" s="119"/>
    <row r="123" ht="14.25" customFormat="1" customHeight="1" s="119"/>
    <row r="124" ht="14.25" customFormat="1" customHeight="1" s="119"/>
    <row r="125" ht="14.25" customFormat="1" customHeight="1" s="119"/>
    <row r="126" ht="14.25" customFormat="1" customHeight="1" s="119"/>
    <row r="127" ht="14.25" customFormat="1" customHeight="1" s="119"/>
    <row r="128" ht="14.25" customFormat="1" customHeight="1" s="119"/>
    <row r="129" ht="14.25" customFormat="1" customHeight="1" s="119"/>
    <row r="130" ht="14.25" customFormat="1" customHeight="1" s="119"/>
    <row r="131" ht="14.25" customFormat="1" customHeight="1" s="119"/>
    <row r="132" ht="14.25" customFormat="1" customHeight="1" s="119"/>
    <row r="133" ht="14.25" customFormat="1" customHeight="1" s="119"/>
    <row r="134" ht="14.25" customFormat="1" customHeight="1" s="119"/>
    <row r="135" ht="14.25" customFormat="1" customHeight="1" s="119"/>
    <row r="136" ht="14.25" customFormat="1" customHeight="1" s="119"/>
    <row r="137" ht="14.25" customFormat="1" customHeight="1" s="119"/>
    <row r="138" ht="14.25" customFormat="1" customHeight="1" s="119"/>
    <row r="139" ht="14.25" customFormat="1" customHeight="1" s="119"/>
    <row r="140" ht="14.25" customFormat="1" customHeight="1" s="119"/>
    <row r="141" ht="14.25" customFormat="1" customHeight="1" s="119"/>
    <row r="142" ht="14.25" customFormat="1" customHeight="1" s="119"/>
    <row r="143" ht="14.25" customFormat="1" customHeight="1" s="119"/>
    <row r="144" ht="14.25" customFormat="1" customHeight="1" s="119"/>
    <row r="145" ht="14.25" customFormat="1" customHeight="1" s="119"/>
    <row r="146" ht="14.25" customFormat="1" customHeight="1" s="119"/>
    <row r="147" ht="14.25" customFormat="1" customHeight="1" s="119"/>
    <row r="148" ht="14.25" customFormat="1" customHeight="1" s="119"/>
    <row r="149" ht="14.25" customFormat="1" customHeight="1" s="119"/>
    <row r="150" ht="14.25" customFormat="1" customHeight="1" s="119"/>
    <row r="151" ht="14.25" customFormat="1" customHeight="1" s="119"/>
    <row r="152" ht="14.25" customFormat="1" customHeight="1" s="119"/>
    <row r="153" ht="14.25" customFormat="1" customHeight="1" s="119"/>
    <row r="154" ht="14.25" customFormat="1" customHeight="1" s="119"/>
    <row r="155" ht="14.25" customFormat="1" customHeight="1" s="119"/>
    <row r="156" ht="14.25" customFormat="1" customHeight="1" s="119"/>
    <row r="157" ht="14.25" customFormat="1" customHeight="1" s="119"/>
    <row r="158" ht="14.25" customFormat="1" customHeight="1" s="119"/>
    <row r="159" ht="14.25" customFormat="1" customHeight="1" s="119"/>
    <row r="160" ht="14.25" customFormat="1" customHeight="1" s="119"/>
    <row r="161" ht="14.25" customFormat="1" customHeight="1" s="119"/>
    <row r="162" ht="14.25" customFormat="1" customHeight="1" s="119"/>
    <row r="163" ht="14.25" customFormat="1" customHeight="1" s="119"/>
    <row r="164" ht="14.25" customFormat="1" customHeight="1" s="119"/>
    <row r="165" ht="14.25" customFormat="1" customHeight="1" s="119"/>
    <row r="166" ht="14.25" customFormat="1" customHeight="1" s="119"/>
    <row r="167" ht="14.25" customFormat="1" customHeight="1" s="119"/>
    <row r="168" ht="14.25" customFormat="1" customHeight="1" s="119"/>
    <row r="169" ht="14.25" customFormat="1" customHeight="1" s="119"/>
    <row r="170" ht="14.25" customFormat="1" customHeight="1" s="119"/>
    <row r="171" ht="14.25" customFormat="1" customHeight="1" s="119"/>
    <row r="172" ht="14.25" customFormat="1" customHeight="1" s="119"/>
    <row r="173" ht="14.25" customFormat="1" customHeight="1" s="119"/>
    <row r="174" ht="14.25" customFormat="1" customHeight="1" s="119"/>
    <row r="175" ht="14.25" customFormat="1" customHeight="1" s="119"/>
    <row r="176" ht="14.25" customFormat="1" customHeight="1" s="119"/>
    <row r="177" ht="14.25" customFormat="1" customHeight="1" s="119"/>
    <row r="178" ht="14.25" customFormat="1" customHeight="1" s="119"/>
    <row r="179" ht="14.25" customFormat="1" customHeight="1" s="119"/>
    <row r="180" ht="14.25" customFormat="1" customHeight="1" s="119"/>
    <row r="181" ht="14.25" customFormat="1" customHeight="1" s="119"/>
    <row r="182" ht="14.25" customFormat="1" customHeight="1" s="119"/>
    <row r="183" ht="14.25" customFormat="1" customHeight="1" s="119"/>
    <row r="184" ht="14.25" customFormat="1" customHeight="1" s="119"/>
    <row r="185" ht="14.25" customFormat="1" customHeight="1" s="119"/>
    <row r="186" ht="14.25" customFormat="1" customHeight="1" s="119"/>
    <row r="187" ht="14.25" customFormat="1" customHeight="1" s="119"/>
    <row r="188" ht="14.25" customFormat="1" customHeight="1" s="119"/>
    <row r="189" ht="14.25" customFormat="1" customHeight="1" s="119"/>
    <row r="190" ht="14.25" customFormat="1" customHeight="1" s="119"/>
    <row r="191" ht="14.25" customFormat="1" customHeight="1" s="119"/>
    <row r="192" ht="14.25" customFormat="1" customHeight="1" s="119"/>
    <row r="193" ht="14.25" customFormat="1" customHeight="1" s="119"/>
    <row r="194" ht="14.25" customFormat="1" customHeight="1" s="119"/>
    <row r="195" ht="14.25" customFormat="1" customHeight="1" s="119"/>
    <row r="196" ht="14.25" customFormat="1" customHeight="1" s="119"/>
    <row r="197" ht="14.25" customFormat="1" customHeight="1" s="119"/>
    <row r="198" ht="14.25" customFormat="1" customHeight="1" s="119"/>
    <row r="199" ht="14.25" customFormat="1" customHeight="1" s="119"/>
    <row r="200" ht="14.25" customFormat="1" customHeight="1" s="119"/>
    <row r="201" ht="14.25" customFormat="1" customHeight="1" s="119"/>
    <row r="202" ht="14.25" customFormat="1" customHeight="1" s="119"/>
    <row r="203" ht="14.25" customFormat="1" customHeight="1" s="119"/>
    <row r="204" ht="14.25" customFormat="1" customHeight="1" s="119"/>
    <row r="205" ht="14.25" customFormat="1" customHeight="1" s="119"/>
    <row r="206" ht="14.25" customFormat="1" customHeight="1" s="119"/>
    <row r="207" ht="14.25" customFormat="1" customHeight="1" s="119"/>
    <row r="208" ht="14.25" customFormat="1" customHeight="1" s="119"/>
    <row r="209" ht="14.25" customFormat="1" customHeight="1" s="119"/>
    <row r="210" ht="14.25" customFormat="1" customHeight="1" s="119"/>
    <row r="211" ht="14.25" customFormat="1" customHeight="1" s="119"/>
    <row r="212" ht="14.25" customFormat="1" customHeight="1" s="119"/>
    <row r="213" ht="14.25" customFormat="1" customHeight="1" s="119"/>
    <row r="214" ht="14.25" customFormat="1" customHeight="1" s="119"/>
    <row r="215" ht="14.25" customFormat="1" customHeight="1" s="119"/>
    <row r="216" ht="14.25" customFormat="1" customHeight="1" s="119"/>
    <row r="217" ht="14.25" customFormat="1" customHeight="1" s="119"/>
    <row r="218" ht="14.25" customFormat="1" customHeight="1" s="119"/>
    <row r="219" ht="14.25" customFormat="1" customHeight="1" s="119"/>
    <row r="220" ht="14.25" customFormat="1" customHeight="1" s="119"/>
    <row r="221" ht="14.25" customFormat="1" customHeight="1" s="119"/>
    <row r="222" ht="14.25" customFormat="1" customHeight="1" s="119"/>
    <row r="223" ht="14.25" customFormat="1" customHeight="1" s="119"/>
    <row r="224" ht="14.25" customFormat="1" customHeight="1" s="119"/>
    <row r="225" ht="14.25" customFormat="1" customHeight="1" s="119"/>
    <row r="226" ht="14.25" customFormat="1" customHeight="1" s="119"/>
    <row r="227" ht="14.25" customFormat="1" customHeight="1" s="119"/>
    <row r="228" ht="14.25" customFormat="1" customHeight="1" s="119"/>
    <row r="229" ht="14.25" customFormat="1" customHeight="1" s="119"/>
    <row r="230" ht="14.25" customFormat="1" customHeight="1" s="119"/>
    <row r="231" ht="14.25" customFormat="1" customHeight="1" s="119"/>
    <row r="232" ht="14.25" customFormat="1" customHeight="1" s="119"/>
    <row r="233" ht="14.25" customFormat="1" customHeight="1" s="119"/>
    <row r="234" ht="14.25" customFormat="1" customHeight="1" s="119"/>
    <row r="235" ht="14.25" customFormat="1" customHeight="1" s="119"/>
    <row r="236" ht="14.25" customFormat="1" customHeight="1" s="119"/>
    <row r="237" ht="14.25" customFormat="1" customHeight="1" s="119"/>
    <row r="238" ht="14.25" customFormat="1" customHeight="1" s="119"/>
    <row r="239" ht="14.25" customFormat="1" customHeight="1" s="119"/>
    <row r="240" ht="14.25" customFormat="1" customHeight="1" s="119"/>
    <row r="241" ht="14.25" customFormat="1" customHeight="1" s="119"/>
    <row r="242" ht="14.25" customFormat="1" customHeight="1" s="119"/>
    <row r="243" ht="14.25" customFormat="1" customHeight="1" s="119"/>
    <row r="244" ht="14.25" customFormat="1" customHeight="1" s="119"/>
    <row r="245" ht="14.25" customFormat="1" customHeight="1" s="119"/>
    <row r="246" ht="14.25" customFormat="1" customHeight="1" s="119"/>
    <row r="247" ht="14.25" customFormat="1" customHeight="1" s="119"/>
    <row r="248" ht="14.25" customFormat="1" customHeight="1" s="119"/>
    <row r="249" ht="14.25" customFormat="1" customHeight="1" s="119"/>
    <row r="250" ht="14.25" customFormat="1" customHeight="1" s="119"/>
    <row r="251" ht="14.25" customFormat="1" customHeight="1" s="119"/>
    <row r="252" ht="14.25" customFormat="1" customHeight="1" s="119"/>
    <row r="253" ht="14.25" customFormat="1" customHeight="1" s="119"/>
    <row r="254" ht="14.25" customFormat="1" customHeight="1" s="119"/>
    <row r="255" ht="14.25" customFormat="1" customHeight="1" s="119"/>
    <row r="256" ht="14.25" customFormat="1" customHeight="1" s="119"/>
    <row r="257" ht="14.25" customFormat="1" customHeight="1" s="119"/>
    <row r="258" ht="14.25" customFormat="1" customHeight="1" s="119"/>
    <row r="259" ht="14.25" customFormat="1" customHeight="1" s="119"/>
    <row r="260" ht="14.25" customFormat="1" customHeight="1" s="119"/>
    <row r="261" ht="14.25" customFormat="1" customHeight="1" s="119"/>
    <row r="262" ht="14.25" customFormat="1" customHeight="1" s="119"/>
    <row r="263" ht="14.25" customFormat="1" customHeight="1" s="119"/>
    <row r="264" ht="14.25" customFormat="1" customHeight="1" s="119"/>
    <row r="265" ht="14.25" customFormat="1" customHeight="1" s="119"/>
    <row r="266" ht="14.25" customFormat="1" customHeight="1" s="119"/>
    <row r="267" ht="14.25" customFormat="1" customHeight="1" s="119"/>
    <row r="268" ht="14.25" customFormat="1" customHeight="1" s="119"/>
    <row r="269" ht="14.25" customFormat="1" customHeight="1" s="119"/>
    <row r="270" ht="14.25" customFormat="1" customHeight="1" s="119"/>
    <row r="271" ht="14.25" customFormat="1" customHeight="1" s="119"/>
    <row r="272" ht="14.25" customFormat="1" customHeight="1" s="119"/>
    <row r="273" ht="14.25" customFormat="1" customHeight="1" s="119"/>
    <row r="274" ht="14.25" customFormat="1" customHeight="1" s="119"/>
    <row r="275" ht="14.25" customFormat="1" customHeight="1" s="119"/>
    <row r="276" ht="14.25" customFormat="1" customHeight="1" s="119"/>
    <row r="277" ht="14.25" customFormat="1" customHeight="1" s="119"/>
    <row r="278" ht="14.25" customFormat="1" customHeight="1" s="119"/>
    <row r="279" ht="14.25" customFormat="1" customHeight="1" s="119"/>
    <row r="280" ht="14.25" customFormat="1" customHeight="1" s="119"/>
    <row r="281" ht="14.25" customFormat="1" customHeight="1" s="119"/>
    <row r="282" ht="14.25" customFormat="1" customHeight="1" s="119"/>
    <row r="283" ht="14.25" customFormat="1" customHeight="1" s="119"/>
    <row r="284" ht="14.25" customFormat="1" customHeight="1" s="119"/>
    <row r="285" ht="14.25" customFormat="1" customHeight="1" s="119"/>
    <row r="286" ht="14.25" customFormat="1" customHeight="1" s="119"/>
    <row r="287" ht="14.25" customFormat="1" customHeight="1" s="119"/>
    <row r="288" ht="14.25" customFormat="1" customHeight="1" s="119"/>
    <row r="289" ht="14.25" customFormat="1" customHeight="1" s="119"/>
    <row r="290" ht="14.25" customFormat="1" customHeight="1" s="119"/>
    <row r="291" ht="14.25" customFormat="1" customHeight="1" s="119"/>
    <row r="292" ht="14.25" customFormat="1" customHeight="1" s="119"/>
    <row r="293" ht="14.25" customFormat="1" customHeight="1" s="119"/>
    <row r="294" ht="14.25" customFormat="1" customHeight="1" s="119"/>
    <row r="295" ht="14.25" customFormat="1" customHeight="1" s="119"/>
    <row r="296" ht="14.25" customFormat="1" customHeight="1" s="119"/>
    <row r="297" ht="14.25" customFormat="1" customHeight="1" s="119"/>
    <row r="298" ht="14.25" customFormat="1" customHeight="1" s="119"/>
    <row r="299" ht="14.25" customFormat="1" customHeight="1" s="119"/>
    <row r="300" ht="14.25" customFormat="1" customHeight="1" s="119"/>
    <row r="301" ht="14.25" customFormat="1" customHeight="1" s="119"/>
    <row r="302" ht="14.25" customFormat="1" customHeight="1" s="119"/>
    <row r="303" ht="14.25" customFormat="1" customHeight="1" s="119"/>
    <row r="304" ht="14.25" customFormat="1" customHeight="1" s="119"/>
    <row r="305" ht="14.25" customFormat="1" customHeight="1" s="119"/>
    <row r="306" ht="14.25" customFormat="1" customHeight="1" s="119"/>
    <row r="307" ht="14.25" customFormat="1" customHeight="1" s="119"/>
    <row r="308" ht="14.25" customFormat="1" customHeight="1" s="119"/>
    <row r="309" ht="14.25" customFormat="1" customHeight="1" s="119"/>
    <row r="310" ht="14.25" customFormat="1" customHeight="1" s="119"/>
    <row r="311" ht="14.25" customFormat="1" customHeight="1" s="119"/>
    <row r="312" ht="14.25" customFormat="1" customHeight="1" s="119"/>
    <row r="313" ht="14.25" customFormat="1" customHeight="1" s="119"/>
    <row r="314" ht="14.25" customFormat="1" customHeight="1" s="119"/>
    <row r="315" ht="14.25" customFormat="1" customHeight="1" s="119"/>
    <row r="316" ht="14.25" customFormat="1" customHeight="1" s="119"/>
    <row r="317" ht="14.25" customFormat="1" customHeight="1" s="119"/>
    <row r="318" ht="14.25" customFormat="1" customHeight="1" s="119"/>
    <row r="319" ht="14.25" customFormat="1" customHeight="1" s="119"/>
    <row r="320" ht="14.25" customFormat="1" customHeight="1" s="119"/>
    <row r="321" ht="14.25" customFormat="1" customHeight="1" s="119"/>
    <row r="322" ht="14.25" customFormat="1" customHeight="1" s="119"/>
    <row r="323" ht="14.25" customFormat="1" customHeight="1" s="119"/>
    <row r="324" ht="14.25" customFormat="1" customHeight="1" s="119"/>
    <row r="325" ht="14.25" customFormat="1" customHeight="1" s="119"/>
    <row r="326" ht="14.25" customFormat="1" customHeight="1" s="119"/>
    <row r="327" ht="14.25" customFormat="1" customHeight="1" s="119"/>
    <row r="328" ht="14.25" customFormat="1" customHeight="1" s="119"/>
    <row r="329" ht="14.25" customFormat="1" customHeight="1" s="119"/>
    <row r="330" ht="14.25" customFormat="1" customHeight="1" s="119"/>
    <row r="331" ht="14.25" customFormat="1" customHeight="1" s="119"/>
    <row r="332" ht="14.25" customFormat="1" customHeight="1" s="119"/>
    <row r="333" ht="14.25" customFormat="1" customHeight="1" s="119"/>
    <row r="334" ht="14.25" customFormat="1" customHeight="1" s="119"/>
    <row r="335" ht="14.25" customFormat="1" customHeight="1" s="119"/>
    <row r="336" ht="14.25" customFormat="1" customHeight="1" s="119"/>
    <row r="337" ht="14.25" customFormat="1" customHeight="1" s="119"/>
    <row r="338" ht="14.25" customFormat="1" customHeight="1" s="119"/>
    <row r="339" ht="14.25" customFormat="1" customHeight="1" s="119"/>
    <row r="340" ht="14.25" customFormat="1" customHeight="1" s="119"/>
    <row r="341" ht="14.25" customFormat="1" customHeight="1" s="119"/>
    <row r="342" ht="14.25" customFormat="1" customHeight="1" s="119"/>
    <row r="343" ht="14.25" customFormat="1" customHeight="1" s="119"/>
    <row r="344" ht="14.25" customFormat="1" customHeight="1" s="119"/>
    <row r="345" ht="14.25" customFormat="1" customHeight="1" s="119"/>
    <row r="346" ht="14.25" customFormat="1" customHeight="1" s="119"/>
    <row r="347" ht="14.25" customFormat="1" customHeight="1" s="119"/>
    <row r="348" ht="14.25" customFormat="1" customHeight="1" s="119"/>
    <row r="349" ht="14.25" customFormat="1" customHeight="1" s="119"/>
    <row r="350" ht="14.25" customFormat="1" customHeight="1" s="119"/>
    <row r="351" ht="14.25" customFormat="1" customHeight="1" s="119"/>
    <row r="352" ht="14.25" customFormat="1" customHeight="1" s="119"/>
    <row r="353" ht="14.25" customFormat="1" customHeight="1" s="119"/>
    <row r="354" ht="14.25" customFormat="1" customHeight="1" s="119"/>
    <row r="355" ht="14.25" customFormat="1" customHeight="1" s="119"/>
    <row r="356" ht="14.25" customFormat="1" customHeight="1" s="119"/>
    <row r="357" ht="14.25" customFormat="1" customHeight="1" s="119"/>
    <row r="358" ht="14.25" customFormat="1" customHeight="1" s="119"/>
    <row r="359" ht="14.25" customFormat="1" customHeight="1" s="119"/>
    <row r="360" ht="14.25" customFormat="1" customHeight="1" s="119"/>
    <row r="361" ht="14.25" customFormat="1" customHeight="1" s="119"/>
    <row r="362" ht="14.25" customFormat="1" customHeight="1" s="119"/>
    <row r="363" ht="14.25" customFormat="1" customHeight="1" s="119"/>
    <row r="364" ht="14.25" customFormat="1" customHeight="1" s="119"/>
    <row r="365" ht="14.25" customFormat="1" customHeight="1" s="119"/>
    <row r="366" ht="14.25" customFormat="1" customHeight="1" s="119"/>
    <row r="367" ht="14.25" customFormat="1" customHeight="1" s="119"/>
    <row r="368" ht="14.25" customFormat="1" customHeight="1" s="119"/>
    <row r="369" ht="14.25" customFormat="1" customHeight="1" s="119"/>
    <row r="370" ht="14.25" customFormat="1" customHeight="1" s="119"/>
    <row r="371" ht="14.25" customFormat="1" customHeight="1" s="119"/>
    <row r="372" ht="14.25" customFormat="1" customHeight="1" s="119"/>
    <row r="373" ht="14.25" customFormat="1" customHeight="1" s="119"/>
    <row r="374" ht="14.25" customFormat="1" customHeight="1" s="119"/>
    <row r="375" ht="14.25" customFormat="1" customHeight="1" s="119"/>
    <row r="376" ht="14.25" customFormat="1" customHeight="1" s="119"/>
    <row r="377" ht="14.25" customFormat="1" customHeight="1" s="119"/>
    <row r="378" ht="14.25" customFormat="1" customHeight="1" s="119"/>
    <row r="379" ht="14.25" customFormat="1" customHeight="1" s="119"/>
    <row r="380" ht="14.25" customFormat="1" customHeight="1" s="119"/>
    <row r="381" ht="14.25" customFormat="1" customHeight="1" s="119"/>
    <row r="382" ht="14.25" customFormat="1" customHeight="1" s="119"/>
    <row r="383" ht="14.25" customFormat="1" customHeight="1" s="119"/>
    <row r="384" ht="14.25" customFormat="1" customHeight="1" s="119"/>
    <row r="385" ht="14.25" customFormat="1" customHeight="1" s="119"/>
    <row r="386" ht="14.25" customFormat="1" customHeight="1" s="119"/>
    <row r="387" ht="14.25" customFormat="1" customHeight="1" s="119"/>
    <row r="388" ht="14.25" customFormat="1" customHeight="1" s="119"/>
    <row r="389" ht="14.25" customFormat="1" customHeight="1" s="119"/>
    <row r="390" ht="14.25" customFormat="1" customHeight="1" s="119"/>
    <row r="391" ht="14.25" customFormat="1" customHeight="1" s="119"/>
    <row r="392" ht="14.25" customFormat="1" customHeight="1" s="119"/>
    <row r="393" ht="14.25" customFormat="1" customHeight="1" s="119"/>
    <row r="394" ht="14.25" customFormat="1" customHeight="1" s="119"/>
    <row r="395" ht="14.25" customFormat="1" customHeight="1" s="119"/>
    <row r="396" ht="14.25" customFormat="1" customHeight="1" s="119"/>
    <row r="397" ht="14.25" customFormat="1" customHeight="1" s="119"/>
    <row r="398" ht="14.25" customFormat="1" customHeight="1" s="119"/>
    <row r="399" ht="14.25" customFormat="1" customHeight="1" s="119"/>
    <row r="400" ht="14.25" customFormat="1" customHeight="1" s="119"/>
    <row r="401" ht="14.25" customFormat="1" customHeight="1" s="119"/>
    <row r="402" ht="14.25" customFormat="1" customHeight="1" s="119"/>
    <row r="403" ht="14.25" customFormat="1" customHeight="1" s="119"/>
    <row r="404" ht="14.25" customFormat="1" customHeight="1" s="119"/>
    <row r="405" ht="14.25" customFormat="1" customHeight="1" s="119"/>
    <row r="406" ht="14.25" customFormat="1" customHeight="1" s="119"/>
    <row r="407" ht="14.25" customFormat="1" customHeight="1" s="119"/>
    <row r="408" ht="14.25" customFormat="1" customHeight="1" s="119"/>
    <row r="409" ht="14.25" customFormat="1" customHeight="1" s="119"/>
    <row r="410" ht="14.25" customFormat="1" customHeight="1" s="119"/>
    <row r="411" ht="14.25" customFormat="1" customHeight="1" s="119"/>
    <row r="412" ht="14.25" customFormat="1" customHeight="1" s="119"/>
    <row r="413" ht="14.25" customFormat="1" customHeight="1" s="119"/>
    <row r="414" ht="14.25" customFormat="1" customHeight="1" s="119"/>
    <row r="415" ht="14.25" customFormat="1" customHeight="1" s="119"/>
    <row r="416" ht="14.25" customFormat="1" customHeight="1" s="119"/>
    <row r="417" ht="14.25" customFormat="1" customHeight="1" s="119"/>
    <row r="418" ht="14.25" customFormat="1" customHeight="1" s="119"/>
    <row r="419" ht="14.25" customFormat="1" customHeight="1" s="119"/>
    <row r="420" ht="14.25" customFormat="1" customHeight="1" s="119"/>
    <row r="421" ht="14.25" customFormat="1" customHeight="1" s="119"/>
    <row r="422" ht="14.25" customFormat="1" customHeight="1" s="119"/>
    <row r="423" ht="14.25" customFormat="1" customHeight="1" s="119"/>
    <row r="424" ht="14.25" customFormat="1" customHeight="1" s="119"/>
    <row r="425" ht="14.25" customFormat="1" customHeight="1" s="119"/>
    <row r="426" ht="14.25" customFormat="1" customHeight="1" s="119"/>
    <row r="427" ht="14.25" customFormat="1" customHeight="1" s="119"/>
    <row r="428" ht="14.25" customFormat="1" customHeight="1" s="119"/>
    <row r="429" ht="14.25" customFormat="1" customHeight="1" s="119"/>
    <row r="430" ht="14.25" customFormat="1" customHeight="1" s="119"/>
    <row r="431" ht="14.25" customFormat="1" customHeight="1" s="119"/>
    <row r="432" ht="14.25" customFormat="1" customHeight="1" s="119"/>
    <row r="433" ht="14.25" customFormat="1" customHeight="1" s="119"/>
    <row r="434" ht="14.25" customFormat="1" customHeight="1" s="119"/>
    <row r="435" ht="14.25" customFormat="1" customHeight="1" s="119"/>
    <row r="436" ht="14.25" customFormat="1" customHeight="1" s="119"/>
    <row r="437" ht="14.25" customFormat="1" customHeight="1" s="119"/>
    <row r="438" ht="14.25" customFormat="1" customHeight="1" s="119"/>
    <row r="439" ht="14.25" customFormat="1" customHeight="1" s="119"/>
    <row r="440" ht="14.25" customFormat="1" customHeight="1" s="119"/>
    <row r="441" ht="14.25" customFormat="1" customHeight="1" s="119"/>
    <row r="442" ht="14.25" customFormat="1" customHeight="1" s="119"/>
    <row r="443" ht="14.25" customFormat="1" customHeight="1" s="119"/>
    <row r="444" ht="14.25" customFormat="1" customHeight="1" s="119"/>
    <row r="445" ht="14.25" customFormat="1" customHeight="1" s="119"/>
    <row r="446" ht="14.25" customFormat="1" customHeight="1" s="119"/>
    <row r="447" ht="14.25" customFormat="1" customHeight="1" s="119"/>
    <row r="448" ht="14.25" customFormat="1" customHeight="1" s="119"/>
    <row r="449" ht="14.25" customFormat="1" customHeight="1" s="119"/>
    <row r="450" ht="14.25" customFormat="1" customHeight="1" s="119"/>
    <row r="451" ht="14.25" customFormat="1" customHeight="1" s="119"/>
    <row r="452" ht="14.25" customFormat="1" customHeight="1" s="119"/>
    <row r="453" ht="14.25" customFormat="1" customHeight="1" s="119"/>
    <row r="454" ht="14.25" customFormat="1" customHeight="1" s="119"/>
    <row r="455" ht="14.25" customFormat="1" customHeight="1" s="119"/>
    <row r="456" ht="14.25" customFormat="1" customHeight="1" s="119"/>
    <row r="457" ht="14.25" customFormat="1" customHeight="1" s="119"/>
    <row r="458" ht="14.25" customFormat="1" customHeight="1" s="119"/>
    <row r="459" ht="14.25" customFormat="1" customHeight="1" s="119"/>
    <row r="460" ht="14.25" customFormat="1" customHeight="1" s="119"/>
    <row r="461" ht="14.25" customFormat="1" customHeight="1" s="119"/>
    <row r="462" ht="14.25" customFormat="1" customHeight="1" s="119"/>
    <row r="463" ht="14.25" customFormat="1" customHeight="1" s="119"/>
    <row r="464" ht="14.25" customFormat="1" customHeight="1" s="119"/>
    <row r="465" ht="14.25" customFormat="1" customHeight="1" s="119"/>
    <row r="466" ht="14.25" customFormat="1" customHeight="1" s="119"/>
    <row r="467" ht="14.25" customFormat="1" customHeight="1" s="119"/>
    <row r="468" ht="14.25" customFormat="1" customHeight="1" s="119"/>
    <row r="469" ht="14.25" customFormat="1" customHeight="1" s="119"/>
    <row r="470" ht="14.25" customFormat="1" customHeight="1" s="119"/>
    <row r="471" ht="14.25" customFormat="1" customHeight="1" s="119"/>
    <row r="472" ht="14.25" customFormat="1" customHeight="1" s="119"/>
    <row r="473" ht="14.25" customFormat="1" customHeight="1" s="119"/>
    <row r="474" ht="14.25" customFormat="1" customHeight="1" s="119"/>
    <row r="475" ht="14.25" customFormat="1" customHeight="1" s="119"/>
    <row r="476" ht="14.25" customFormat="1" customHeight="1" s="119"/>
    <row r="477" ht="14.25" customFormat="1" customHeight="1" s="119"/>
    <row r="478" ht="14.25" customFormat="1" customHeight="1" s="119"/>
    <row r="479" ht="14.25" customFormat="1" customHeight="1" s="119"/>
    <row r="480" ht="14.25" customFormat="1" customHeight="1" s="119"/>
    <row r="481" ht="14.25" customFormat="1" customHeight="1" s="119"/>
    <row r="482" ht="14.25" customFormat="1" customHeight="1" s="119"/>
    <row r="483" ht="14.25" customFormat="1" customHeight="1" s="119"/>
    <row r="484" ht="14.25" customFormat="1" customHeight="1" s="119"/>
    <row r="485" ht="14.25" customFormat="1" customHeight="1" s="119"/>
    <row r="486" ht="14.25" customFormat="1" customHeight="1" s="119"/>
    <row r="487" ht="14.25" customFormat="1" customHeight="1" s="119"/>
    <row r="488" ht="14.25" customFormat="1" customHeight="1" s="119"/>
    <row r="489" ht="14.25" customFormat="1" customHeight="1" s="119"/>
    <row r="490" ht="14.25" customFormat="1" customHeight="1" s="119"/>
    <row r="491" ht="14.25" customFormat="1" customHeight="1" s="119"/>
    <row r="492" ht="14.25" customFormat="1" customHeight="1" s="119"/>
    <row r="493" ht="14.25" customFormat="1" customHeight="1" s="119"/>
    <row r="494" ht="14.25" customFormat="1" customHeight="1" s="119"/>
    <row r="495" ht="14.25" customFormat="1" customHeight="1" s="119"/>
    <row r="496" ht="14.25" customFormat="1" customHeight="1" s="119"/>
    <row r="497" ht="14.25" customFormat="1" customHeight="1" s="119"/>
    <row r="498" ht="14.25" customFormat="1" customHeight="1" s="119"/>
    <row r="499" ht="14.25" customFormat="1" customHeight="1" s="119"/>
    <row r="500" ht="14.25" customFormat="1" customHeight="1" s="119"/>
    <row r="501" ht="14.25" customFormat="1" customHeight="1" s="119"/>
    <row r="502" ht="14.25" customFormat="1" customHeight="1" s="119"/>
    <row r="503" ht="14.25" customFormat="1" customHeight="1" s="119"/>
    <row r="504" ht="14.25" customFormat="1" customHeight="1" s="119"/>
    <row r="505" ht="14.25" customFormat="1" customHeight="1" s="119"/>
    <row r="506" ht="14.25" customFormat="1" customHeight="1" s="119"/>
    <row r="507" ht="14.25" customFormat="1" customHeight="1" s="119"/>
    <row r="508" ht="14.25" customFormat="1" customHeight="1" s="119"/>
    <row r="509" ht="14.25" customFormat="1" customHeight="1" s="119"/>
    <row r="510" ht="14.25" customFormat="1" customHeight="1" s="119"/>
    <row r="511" ht="14.25" customFormat="1" customHeight="1" s="119"/>
    <row r="512" ht="14.25" customFormat="1" customHeight="1" s="119"/>
    <row r="513" ht="14.25" customFormat="1" customHeight="1" s="119"/>
    <row r="514" ht="14.25" customFormat="1" customHeight="1" s="119"/>
    <row r="515" ht="14.25" customFormat="1" customHeight="1" s="119"/>
    <row r="516" ht="14.25" customFormat="1" customHeight="1" s="119"/>
    <row r="517" ht="14.25" customFormat="1" customHeight="1" s="119"/>
    <row r="518" ht="14.25" customFormat="1" customHeight="1" s="119"/>
    <row r="519" ht="14.25" customFormat="1" customHeight="1" s="119"/>
    <row r="520" ht="14.25" customFormat="1" customHeight="1" s="119"/>
    <row r="521" ht="14.25" customFormat="1" customHeight="1" s="119"/>
    <row r="522" ht="14.25" customFormat="1" customHeight="1" s="119"/>
    <row r="523" ht="14.25" customFormat="1" customHeight="1" s="119"/>
    <row r="524" ht="14.25" customFormat="1" customHeight="1" s="119"/>
    <row r="525" ht="14.25" customFormat="1" customHeight="1" s="119"/>
    <row r="526" ht="14.25" customFormat="1" customHeight="1" s="119"/>
    <row r="527" ht="14.25" customFormat="1" customHeight="1" s="119"/>
    <row r="528" ht="14.25" customFormat="1" customHeight="1" s="119"/>
    <row r="529" ht="14.25" customFormat="1" customHeight="1" s="119"/>
    <row r="530" ht="14.25" customFormat="1" customHeight="1" s="119"/>
    <row r="531" ht="14.25" customFormat="1" customHeight="1" s="119"/>
    <row r="532" ht="14.25" customFormat="1" customHeight="1" s="119"/>
    <row r="533" ht="14.25" customFormat="1" customHeight="1" s="119"/>
    <row r="534" ht="14.25" customFormat="1" customHeight="1" s="119"/>
    <row r="535" ht="14.25" customFormat="1" customHeight="1" s="119"/>
    <row r="536" ht="14.25" customFormat="1" customHeight="1" s="119"/>
    <row r="537" ht="14.25" customFormat="1" customHeight="1" s="119"/>
    <row r="538" ht="14.25" customFormat="1" customHeight="1" s="119"/>
    <row r="539" ht="14.25" customFormat="1" customHeight="1" s="119"/>
    <row r="540" ht="14.25" customFormat="1" customHeight="1" s="119"/>
    <row r="541" ht="14.25" customFormat="1" customHeight="1" s="119"/>
    <row r="542" ht="14.25" customFormat="1" customHeight="1" s="119"/>
    <row r="543" ht="14.25" customFormat="1" customHeight="1" s="119"/>
    <row r="544" ht="14.25" customFormat="1" customHeight="1" s="119"/>
    <row r="545" ht="14.25" customFormat="1" customHeight="1" s="119"/>
    <row r="546" ht="14.25" customFormat="1" customHeight="1" s="119"/>
    <row r="547" ht="14.25" customFormat="1" customHeight="1" s="119"/>
    <row r="548" ht="14.25" customFormat="1" customHeight="1" s="119"/>
    <row r="549" ht="14.25" customFormat="1" customHeight="1" s="119"/>
    <row r="550" ht="14.25" customFormat="1" customHeight="1" s="119"/>
    <row r="551" ht="14.25" customFormat="1" customHeight="1" s="119"/>
    <row r="552" ht="14.25" customFormat="1" customHeight="1" s="119"/>
    <row r="553" ht="14.25" customFormat="1" customHeight="1" s="119"/>
    <row r="554" ht="14.25" customFormat="1" customHeight="1" s="119"/>
    <row r="555" ht="14.25" customFormat="1" customHeight="1" s="119"/>
    <row r="556" ht="14.25" customFormat="1" customHeight="1" s="119"/>
    <row r="557" ht="14.25" customFormat="1" customHeight="1" s="119"/>
    <row r="558" ht="14.25" customFormat="1" customHeight="1" s="119"/>
    <row r="559" ht="14.25" customFormat="1" customHeight="1" s="119"/>
    <row r="560" ht="14.25" customFormat="1" customHeight="1" s="119"/>
    <row r="561" ht="14.25" customFormat="1" customHeight="1" s="119"/>
    <row r="562" ht="14.25" customFormat="1" customHeight="1" s="119"/>
    <row r="563" ht="14.25" customFormat="1" customHeight="1" s="119"/>
    <row r="564" ht="14.25" customFormat="1" customHeight="1" s="119"/>
    <row r="565" ht="14.25" customFormat="1" customHeight="1" s="119"/>
    <row r="566" ht="14.25" customFormat="1" customHeight="1" s="119"/>
    <row r="567" ht="14.25" customFormat="1" customHeight="1" s="119"/>
    <row r="568" ht="14.25" customFormat="1" customHeight="1" s="119"/>
    <row r="569" ht="14.25" customFormat="1" customHeight="1" s="119"/>
    <row r="570" ht="14.25" customFormat="1" customHeight="1" s="119"/>
    <row r="571" ht="14.25" customFormat="1" customHeight="1" s="119"/>
    <row r="572" ht="14.25" customFormat="1" customHeight="1" s="119"/>
    <row r="573" ht="14.25" customFormat="1" customHeight="1" s="119"/>
    <row r="574" ht="14.25" customFormat="1" customHeight="1" s="119"/>
    <row r="575" ht="14.25" customFormat="1" customHeight="1" s="119"/>
    <row r="576" ht="14.25" customFormat="1" customHeight="1" s="119"/>
    <row r="577" ht="14.25" customFormat="1" customHeight="1" s="119"/>
    <row r="578" ht="14.25" customFormat="1" customHeight="1" s="119"/>
    <row r="579" ht="14.25" customFormat="1" customHeight="1" s="119"/>
    <row r="580" ht="14.25" customFormat="1" customHeight="1" s="119"/>
    <row r="581" ht="14.25" customFormat="1" customHeight="1" s="119"/>
    <row r="582" ht="14.25" customFormat="1" customHeight="1" s="119"/>
    <row r="583" ht="14.25" customFormat="1" customHeight="1" s="119"/>
    <row r="584" ht="14.25" customFormat="1" customHeight="1" s="119"/>
    <row r="585" ht="14.25" customFormat="1" customHeight="1" s="119"/>
    <row r="586" ht="14.25" customFormat="1" customHeight="1" s="119"/>
    <row r="587" ht="14.25" customFormat="1" customHeight="1" s="119"/>
    <row r="588" ht="14.25" customFormat="1" customHeight="1" s="119"/>
    <row r="589" ht="14.25" customFormat="1" customHeight="1" s="119"/>
    <row r="590" ht="14.25" customFormat="1" customHeight="1" s="119"/>
    <row r="591" ht="14.25" customFormat="1" customHeight="1" s="119"/>
    <row r="592" ht="14.25" customFormat="1" customHeight="1" s="119"/>
    <row r="593" ht="14.25" customFormat="1" customHeight="1" s="119"/>
    <row r="594" ht="14.25" customFormat="1" customHeight="1" s="119"/>
    <row r="595" ht="14.25" customFormat="1" customHeight="1" s="119"/>
    <row r="596" ht="14.25" customFormat="1" customHeight="1" s="119"/>
    <row r="597" ht="14.25" customFormat="1" customHeight="1" s="119"/>
    <row r="598" ht="14.25" customFormat="1" customHeight="1" s="119"/>
    <row r="599" ht="14.25" customFormat="1" customHeight="1" s="119"/>
    <row r="600" ht="14.25" customFormat="1" customHeight="1" s="119"/>
    <row r="601" ht="14.25" customFormat="1" customHeight="1" s="119"/>
    <row r="602" ht="14.25" customFormat="1" customHeight="1" s="119"/>
    <row r="603" ht="14.25" customFormat="1" customHeight="1" s="119"/>
    <row r="604" ht="14.25" customFormat="1" customHeight="1" s="119"/>
    <row r="605" ht="14.25" customFormat="1" customHeight="1" s="119"/>
    <row r="606" ht="14.25" customFormat="1" customHeight="1" s="119"/>
    <row r="607" ht="14.25" customFormat="1" customHeight="1" s="119"/>
    <row r="608" ht="14.25" customFormat="1" customHeight="1" s="119"/>
    <row r="609" ht="14.25" customFormat="1" customHeight="1" s="119"/>
    <row r="610" ht="14.25" customFormat="1" customHeight="1" s="119"/>
    <row r="611" ht="14.25" customFormat="1" customHeight="1" s="119"/>
    <row r="612" ht="14.25" customFormat="1" customHeight="1" s="119"/>
    <row r="613" ht="14.25" customFormat="1" customHeight="1" s="119"/>
    <row r="614" ht="14.25" customFormat="1" customHeight="1" s="119"/>
    <row r="615" ht="14.25" customFormat="1" customHeight="1" s="119"/>
    <row r="616" ht="14.25" customFormat="1" customHeight="1" s="119"/>
    <row r="617" ht="14.25" customFormat="1" customHeight="1" s="119"/>
    <row r="618" ht="14.25" customFormat="1" customHeight="1" s="119"/>
    <row r="619" ht="14.25" customFormat="1" customHeight="1" s="119"/>
    <row r="620" ht="14.25" customFormat="1" customHeight="1" s="119"/>
    <row r="621" ht="14.25" customFormat="1" customHeight="1" s="119"/>
    <row r="622" ht="14.25" customFormat="1" customHeight="1" s="119"/>
    <row r="623" ht="14.25" customFormat="1" customHeight="1" s="119"/>
    <row r="624" ht="14.25" customFormat="1" customHeight="1" s="119"/>
    <row r="625" ht="14.25" customFormat="1" customHeight="1" s="119"/>
    <row r="626" ht="14.25" customFormat="1" customHeight="1" s="119"/>
    <row r="627" ht="14.25" customFormat="1" customHeight="1" s="119"/>
    <row r="628" ht="14.25" customFormat="1" customHeight="1" s="119"/>
    <row r="629" ht="14.25" customFormat="1" customHeight="1" s="119"/>
    <row r="630" ht="14.25" customFormat="1" customHeight="1" s="119"/>
    <row r="631" ht="14.25" customFormat="1" customHeight="1" s="119"/>
    <row r="632" ht="14.25" customFormat="1" customHeight="1" s="119"/>
    <row r="633" ht="14.25" customFormat="1" customHeight="1" s="119"/>
    <row r="634" ht="14.25" customFormat="1" customHeight="1" s="119"/>
    <row r="635" ht="14.25" customFormat="1" customHeight="1" s="119"/>
    <row r="636" ht="14.25" customFormat="1" customHeight="1" s="119"/>
    <row r="637" ht="14.25" customFormat="1" customHeight="1" s="119"/>
    <row r="638" ht="14.25" customFormat="1" customHeight="1" s="119"/>
    <row r="639" ht="14.25" customFormat="1" customHeight="1" s="119"/>
    <row r="640" ht="14.25" customFormat="1" customHeight="1" s="119"/>
    <row r="641" ht="14.25" customFormat="1" customHeight="1" s="119"/>
    <row r="642" ht="14.25" customFormat="1" customHeight="1" s="119"/>
    <row r="643" ht="14.25" customFormat="1" customHeight="1" s="119"/>
    <row r="644" ht="14.25" customFormat="1" customHeight="1" s="119"/>
    <row r="645" ht="14.25" customFormat="1" customHeight="1" s="119"/>
    <row r="646" ht="14.25" customFormat="1" customHeight="1" s="119"/>
    <row r="647" ht="14.25" customFormat="1" customHeight="1" s="119"/>
    <row r="648" ht="14.25" customFormat="1" customHeight="1" s="119"/>
    <row r="649" ht="14.25" customFormat="1" customHeight="1" s="119"/>
    <row r="650" ht="14.25" customFormat="1" customHeight="1" s="119"/>
    <row r="651" ht="14.25" customFormat="1" customHeight="1" s="119"/>
    <row r="652" ht="14.25" customFormat="1" customHeight="1" s="119"/>
    <row r="653" ht="14.25" customFormat="1" customHeight="1" s="119"/>
    <row r="654" ht="14.25" customFormat="1" customHeight="1" s="119"/>
    <row r="655" ht="14.25" customFormat="1" customHeight="1" s="119"/>
    <row r="656" ht="14.25" customFormat="1" customHeight="1" s="119"/>
    <row r="657" ht="14.25" customFormat="1" customHeight="1" s="119"/>
    <row r="658" ht="14.25" customFormat="1" customHeight="1" s="119"/>
    <row r="659" ht="14.25" customFormat="1" customHeight="1" s="119"/>
    <row r="660" ht="14.25" customFormat="1" customHeight="1" s="119"/>
    <row r="661" ht="14.25" customFormat="1" customHeight="1" s="119"/>
    <row r="662" ht="14.25" customFormat="1" customHeight="1" s="119"/>
    <row r="663" ht="14.25" customFormat="1" customHeight="1" s="119"/>
    <row r="664" ht="14.25" customFormat="1" customHeight="1" s="119"/>
    <row r="665" ht="14.25" customFormat="1" customHeight="1" s="119"/>
    <row r="666" ht="14.25" customFormat="1" customHeight="1" s="119"/>
    <row r="667" ht="14.25" customFormat="1" customHeight="1" s="119"/>
    <row r="668" ht="14.25" customFormat="1" customHeight="1" s="119"/>
    <row r="669" ht="14.25" customFormat="1" customHeight="1" s="119"/>
    <row r="670" ht="14.25" customFormat="1" customHeight="1" s="119"/>
    <row r="671" ht="14.25" customFormat="1" customHeight="1" s="119"/>
    <row r="672" ht="14.25" customFormat="1" customHeight="1" s="119"/>
    <row r="673" ht="14.25" customFormat="1" customHeight="1" s="119"/>
    <row r="674" ht="14.25" customFormat="1" customHeight="1" s="119"/>
    <row r="675" ht="14.25" customFormat="1" customHeight="1" s="119"/>
    <row r="676" ht="14.25" customFormat="1" customHeight="1" s="119"/>
    <row r="677" ht="14.25" customFormat="1" customHeight="1" s="119"/>
    <row r="678" ht="14.25" customFormat="1" customHeight="1" s="119"/>
    <row r="679" ht="14.25" customFormat="1" customHeight="1" s="119"/>
    <row r="680" ht="14.25" customFormat="1" customHeight="1" s="119"/>
    <row r="681" ht="14.25" customFormat="1" customHeight="1" s="119"/>
    <row r="682" ht="14.25" customFormat="1" customHeight="1" s="119"/>
    <row r="683" ht="14.25" customFormat="1" customHeight="1" s="119"/>
    <row r="684" ht="14.25" customFormat="1" customHeight="1" s="119"/>
    <row r="685" ht="14.25" customFormat="1" customHeight="1" s="119"/>
    <row r="686" ht="14.25" customFormat="1" customHeight="1" s="119"/>
    <row r="687" ht="14.25" customFormat="1" customHeight="1" s="119"/>
    <row r="688" ht="14.25" customFormat="1" customHeight="1" s="119"/>
    <row r="689" ht="14.25" customFormat="1" customHeight="1" s="119"/>
    <row r="690" ht="14.25" customFormat="1" customHeight="1" s="119"/>
    <row r="691" ht="14.25" customFormat="1" customHeight="1" s="119"/>
    <row r="692" ht="14.25" customFormat="1" customHeight="1" s="119"/>
    <row r="693" ht="14.25" customFormat="1" customHeight="1" s="119"/>
    <row r="694" ht="14.25" customFormat="1" customHeight="1" s="119"/>
    <row r="695" ht="14.25" customFormat="1" customHeight="1" s="119"/>
    <row r="696" ht="14.25" customFormat="1" customHeight="1" s="119"/>
    <row r="697" ht="14.25" customFormat="1" customHeight="1" s="119"/>
    <row r="698" ht="14.25" customFormat="1" customHeight="1" s="119"/>
    <row r="699" ht="14.25" customFormat="1" customHeight="1" s="119"/>
    <row r="700" ht="14.25" customFormat="1" customHeight="1" s="119"/>
    <row r="701" ht="14.25" customFormat="1" customHeight="1" s="119"/>
    <row r="702" ht="14.25" customFormat="1" customHeight="1" s="119"/>
    <row r="703" ht="14.25" customFormat="1" customHeight="1" s="119"/>
    <row r="704" ht="14.25" customFormat="1" customHeight="1" s="119"/>
    <row r="705" ht="14.25" customFormat="1" customHeight="1" s="119"/>
    <row r="706" ht="14.25" customFormat="1" customHeight="1" s="119"/>
    <row r="707" ht="14.25" customFormat="1" customHeight="1" s="119"/>
    <row r="708" ht="14.25" customFormat="1" customHeight="1" s="119"/>
    <row r="709" ht="14.25" customFormat="1" customHeight="1" s="119"/>
    <row r="710" ht="14.25" customFormat="1" customHeight="1" s="119"/>
    <row r="711" ht="14.25" customFormat="1" customHeight="1" s="119"/>
    <row r="712" ht="14.25" customFormat="1" customHeight="1" s="119"/>
    <row r="713" ht="14.25" customFormat="1" customHeight="1" s="119"/>
    <row r="714" ht="14.25" customFormat="1" customHeight="1" s="119"/>
    <row r="715" ht="14.25" customFormat="1" customHeight="1" s="119"/>
    <row r="716" ht="14.25" customFormat="1" customHeight="1" s="119"/>
    <row r="717" ht="14.25" customFormat="1" customHeight="1" s="119"/>
    <row r="718" ht="14.25" customFormat="1" customHeight="1" s="119"/>
    <row r="719" ht="14.25" customFormat="1" customHeight="1" s="119"/>
    <row r="720" ht="14.25" customFormat="1" customHeight="1" s="119"/>
    <row r="721" ht="14.25" customFormat="1" customHeight="1" s="119"/>
    <row r="722" ht="14.25" customFormat="1" customHeight="1" s="119"/>
    <row r="723" ht="14.25" customFormat="1" customHeight="1" s="119"/>
    <row r="724" ht="14.25" customFormat="1" customHeight="1" s="119"/>
    <row r="725" ht="14.25" customFormat="1" customHeight="1" s="119"/>
    <row r="726" ht="14.25" customFormat="1" customHeight="1" s="119"/>
    <row r="727" ht="14.25" customFormat="1" customHeight="1" s="119"/>
    <row r="728" ht="14.25" customFormat="1" customHeight="1" s="119"/>
    <row r="729" ht="14.25" customFormat="1" customHeight="1" s="119"/>
    <row r="730" ht="14.25" customFormat="1" customHeight="1" s="119"/>
    <row r="731" ht="14.25" customFormat="1" customHeight="1" s="119"/>
    <row r="732" ht="14.25" customFormat="1" customHeight="1" s="119"/>
    <row r="733" ht="14.25" customFormat="1" customHeight="1" s="119"/>
    <row r="734" ht="14.25" customFormat="1" customHeight="1" s="119"/>
    <row r="735" ht="14.25" customFormat="1" customHeight="1" s="119"/>
    <row r="736" ht="14.25" customFormat="1" customHeight="1" s="119"/>
    <row r="737" ht="14.25" customFormat="1" customHeight="1" s="119"/>
    <row r="738" ht="14.25" customFormat="1" customHeight="1" s="119"/>
    <row r="739" ht="14.25" customFormat="1" customHeight="1" s="119"/>
    <row r="740" ht="14.25" customFormat="1" customHeight="1" s="119"/>
    <row r="741" ht="14.25" customFormat="1" customHeight="1" s="119"/>
    <row r="742" ht="14.25" customFormat="1" customHeight="1" s="119"/>
    <row r="743" ht="14.25" customFormat="1" customHeight="1" s="119"/>
    <row r="744" ht="14.25" customFormat="1" customHeight="1" s="119"/>
    <row r="745" ht="14.25" customFormat="1" customHeight="1" s="119"/>
    <row r="746" ht="14.25" customFormat="1" customHeight="1" s="119"/>
    <row r="747" ht="14.25" customFormat="1" customHeight="1" s="119"/>
    <row r="748" ht="14.25" customFormat="1" customHeight="1" s="119"/>
    <row r="749" ht="14.25" customFormat="1" customHeight="1" s="119"/>
    <row r="750" ht="14.25" customFormat="1" customHeight="1" s="119"/>
    <row r="751" ht="14.25" customFormat="1" customHeight="1" s="119"/>
    <row r="752" ht="14.25" customFormat="1" customHeight="1" s="119"/>
    <row r="753" ht="14.25" customFormat="1" customHeight="1" s="119"/>
    <row r="754" ht="14.25" customFormat="1" customHeight="1" s="119"/>
    <row r="755" ht="14.25" customFormat="1" customHeight="1" s="119"/>
    <row r="756" ht="14.25" customFormat="1" customHeight="1" s="119"/>
    <row r="757" ht="14.25" customFormat="1" customHeight="1" s="119"/>
    <row r="758" ht="14.25" customFormat="1" customHeight="1" s="119"/>
    <row r="759" ht="14.25" customFormat="1" customHeight="1" s="119"/>
    <row r="760" ht="14.25" customFormat="1" customHeight="1" s="119"/>
    <row r="761" ht="14.25" customFormat="1" customHeight="1" s="119"/>
    <row r="762" ht="14.25" customFormat="1" customHeight="1" s="119"/>
    <row r="763" ht="14.25" customFormat="1" customHeight="1" s="119"/>
    <row r="764" ht="14.25" customFormat="1" customHeight="1" s="119"/>
    <row r="765" ht="14.25" customFormat="1" customHeight="1" s="119"/>
    <row r="766" ht="14.25" customFormat="1" customHeight="1" s="119"/>
    <row r="767" ht="14.25" customFormat="1" customHeight="1" s="119"/>
    <row r="768" ht="14.25" customFormat="1" customHeight="1" s="119"/>
    <row r="769" ht="14.25" customFormat="1" customHeight="1" s="119"/>
    <row r="770" ht="14.25" customFormat="1" customHeight="1" s="119"/>
    <row r="771" ht="14.25" customFormat="1" customHeight="1" s="119"/>
    <row r="772" ht="14.25" customFormat="1" customHeight="1" s="119"/>
    <row r="773" ht="14.25" customFormat="1" customHeight="1" s="119"/>
    <row r="774" ht="14.25" customFormat="1" customHeight="1" s="119"/>
    <row r="775" ht="14.25" customFormat="1" customHeight="1" s="119"/>
    <row r="776" ht="14.25" customFormat="1" customHeight="1" s="119"/>
    <row r="777" ht="14.25" customFormat="1" customHeight="1" s="119"/>
    <row r="778" ht="14.25" customFormat="1" customHeight="1" s="119"/>
    <row r="779" ht="14.25" customFormat="1" customHeight="1" s="119"/>
    <row r="780" ht="14.25" customFormat="1" customHeight="1" s="119"/>
    <row r="781" ht="14.25" customFormat="1" customHeight="1" s="119"/>
    <row r="782" ht="14.25" customFormat="1" customHeight="1" s="119"/>
    <row r="783" ht="14.25" customFormat="1" customHeight="1" s="119"/>
    <row r="784" ht="14.25" customFormat="1" customHeight="1" s="119"/>
    <row r="785" ht="14.25" customFormat="1" customHeight="1" s="119"/>
    <row r="786" ht="14.25" customFormat="1" customHeight="1" s="119"/>
    <row r="787" ht="14.25" customFormat="1" customHeight="1" s="119"/>
    <row r="788" ht="14.25" customFormat="1" customHeight="1" s="119"/>
    <row r="789" ht="14.25" customFormat="1" customHeight="1" s="119"/>
    <row r="790" ht="14.25" customFormat="1" customHeight="1" s="119"/>
    <row r="791" ht="14.25" customFormat="1" customHeight="1" s="119"/>
    <row r="792" ht="14.25" customFormat="1" customHeight="1" s="119"/>
    <row r="793" ht="14.25" customFormat="1" customHeight="1" s="119"/>
    <row r="794" ht="14.25" customFormat="1" customHeight="1" s="119"/>
    <row r="795" ht="14.25" customFormat="1" customHeight="1" s="119"/>
    <row r="796" ht="14.25" customFormat="1" customHeight="1" s="119"/>
    <row r="797" ht="14.25" customFormat="1" customHeight="1" s="119"/>
    <row r="798" ht="14.25" customFormat="1" customHeight="1" s="119"/>
    <row r="799" ht="14.25" customFormat="1" customHeight="1" s="119"/>
    <row r="800" ht="14.25" customFormat="1" customHeight="1" s="119"/>
    <row r="801" ht="14.25" customFormat="1" customHeight="1" s="119"/>
    <row r="802" ht="14.25" customFormat="1" customHeight="1" s="119"/>
    <row r="803" ht="14.25" customFormat="1" customHeight="1" s="119"/>
    <row r="804" ht="14.25" customFormat="1" customHeight="1" s="119"/>
    <row r="805" ht="14.25" customFormat="1" customHeight="1" s="119"/>
    <row r="806" ht="14.25" customFormat="1" customHeight="1" s="119"/>
    <row r="807" ht="14.25" customFormat="1" customHeight="1" s="119"/>
    <row r="808" ht="14.25" customFormat="1" customHeight="1" s="119"/>
    <row r="809" ht="14.25" customFormat="1" customHeight="1" s="119"/>
    <row r="810" ht="14.25" customFormat="1" customHeight="1" s="119"/>
    <row r="811" ht="14.25" customFormat="1" customHeight="1" s="119"/>
    <row r="812" ht="14.25" customFormat="1" customHeight="1" s="119"/>
    <row r="813" ht="14.25" customFormat="1" customHeight="1" s="119"/>
    <row r="814" ht="14.25" customFormat="1" customHeight="1" s="119"/>
    <row r="815" ht="14.25" customFormat="1" customHeight="1" s="119"/>
    <row r="816" ht="14.25" customFormat="1" customHeight="1" s="119"/>
    <row r="817" ht="14.25" customFormat="1" customHeight="1" s="119"/>
    <row r="818" ht="14.25" customFormat="1" customHeight="1" s="119"/>
    <row r="819" ht="14.25" customFormat="1" customHeight="1" s="119"/>
    <row r="820" ht="14.25" customFormat="1" customHeight="1" s="119"/>
    <row r="821" ht="14.25" customFormat="1" customHeight="1" s="119"/>
    <row r="822" ht="14.25" customFormat="1" customHeight="1" s="119"/>
    <row r="823" ht="14.25" customFormat="1" customHeight="1" s="119"/>
    <row r="824" ht="14.25" customFormat="1" customHeight="1" s="119"/>
    <row r="825" ht="14.25" customFormat="1" customHeight="1" s="119"/>
    <row r="826" ht="14.25" customFormat="1" customHeight="1" s="119"/>
    <row r="827" ht="14.25" customFormat="1" customHeight="1" s="119"/>
    <row r="828" ht="14.25" customFormat="1" customHeight="1" s="119"/>
    <row r="829" ht="14.25" customFormat="1" customHeight="1" s="119"/>
    <row r="830" ht="14.25" customFormat="1" customHeight="1" s="119"/>
    <row r="831" ht="14.25" customFormat="1" customHeight="1" s="119"/>
    <row r="832" ht="14.25" customFormat="1" customHeight="1" s="119"/>
    <row r="833" ht="14.25" customFormat="1" customHeight="1" s="119"/>
    <row r="834" ht="14.25" customFormat="1" customHeight="1" s="119"/>
    <row r="835" ht="14.25" customFormat="1" customHeight="1" s="119"/>
    <row r="836" ht="14.25" customFormat="1" customHeight="1" s="119"/>
    <row r="837" ht="14.25" customFormat="1" customHeight="1" s="119"/>
    <row r="838" ht="14.25" customFormat="1" customHeight="1" s="119"/>
    <row r="839" ht="14.25" customFormat="1" customHeight="1" s="119"/>
    <row r="840" ht="14.25" customFormat="1" customHeight="1" s="119"/>
    <row r="841" ht="14.25" customFormat="1" customHeight="1" s="119"/>
    <row r="842" ht="14.25" customFormat="1" customHeight="1" s="119"/>
    <row r="843" ht="14.25" customFormat="1" customHeight="1" s="119"/>
    <row r="844" ht="14.25" customFormat="1" customHeight="1" s="119"/>
    <row r="845" ht="14.25" customFormat="1" customHeight="1" s="119"/>
    <row r="846" ht="14.25" customFormat="1" customHeight="1" s="119"/>
    <row r="847" ht="14.25" customFormat="1" customHeight="1" s="119"/>
    <row r="848" ht="14.25" customFormat="1" customHeight="1" s="119"/>
    <row r="849" ht="14.25" customFormat="1" customHeight="1" s="119"/>
    <row r="850" ht="14.25" customFormat="1" customHeight="1" s="119"/>
    <row r="851" ht="14.25" customFormat="1" customHeight="1" s="119"/>
    <row r="852" ht="14.25" customFormat="1" customHeight="1" s="119"/>
    <row r="853" ht="14.25" customFormat="1" customHeight="1" s="119"/>
    <row r="854" ht="14.25" customFormat="1" customHeight="1" s="119"/>
    <row r="855" ht="14.25" customFormat="1" customHeight="1" s="119"/>
    <row r="856" ht="14.25" customFormat="1" customHeight="1" s="119"/>
    <row r="857" ht="14.25" customFormat="1" customHeight="1" s="119"/>
    <row r="858" ht="14.25" customFormat="1" customHeight="1" s="119"/>
    <row r="859" ht="14.25" customFormat="1" customHeight="1" s="119"/>
    <row r="860" ht="14.25" customFormat="1" customHeight="1" s="119"/>
    <row r="861" ht="14.25" customFormat="1" customHeight="1" s="119"/>
    <row r="862" ht="14.25" customFormat="1" customHeight="1" s="119"/>
    <row r="863" ht="14.25" customFormat="1" customHeight="1" s="119"/>
    <row r="864" ht="14.25" customFormat="1" customHeight="1" s="119"/>
    <row r="865" ht="14.25" customFormat="1" customHeight="1" s="119"/>
    <row r="866" ht="14.25" customFormat="1" customHeight="1" s="119"/>
    <row r="867" ht="14.25" customFormat="1" customHeight="1" s="119"/>
    <row r="868" ht="14.25" customFormat="1" customHeight="1" s="119"/>
    <row r="869" ht="14.25" customFormat="1" customHeight="1" s="119"/>
    <row r="870" ht="14.25" customFormat="1" customHeight="1" s="119"/>
    <row r="871" ht="14.25" customFormat="1" customHeight="1" s="119"/>
    <row r="872" ht="14.25" customFormat="1" customHeight="1" s="119"/>
    <row r="873" ht="14.25" customFormat="1" customHeight="1" s="119"/>
    <row r="874" ht="14.25" customFormat="1" customHeight="1" s="119"/>
    <row r="875" ht="14.25" customFormat="1" customHeight="1" s="119"/>
    <row r="876" ht="14.25" customFormat="1" customHeight="1" s="119"/>
    <row r="877" ht="14.25" customFormat="1" customHeight="1" s="119"/>
    <row r="878" ht="14.25" customFormat="1" customHeight="1" s="119"/>
    <row r="879" ht="14.25" customFormat="1" customHeight="1" s="119"/>
    <row r="880" ht="14.25" customFormat="1" customHeight="1" s="119"/>
    <row r="881" ht="14.25" customFormat="1" customHeight="1" s="119"/>
    <row r="882" ht="14.25" customFormat="1" customHeight="1" s="119"/>
    <row r="883" ht="14.25" customFormat="1" customHeight="1" s="119"/>
    <row r="884" ht="14.25" customFormat="1" customHeight="1" s="119"/>
    <row r="885" ht="14.25" customFormat="1" customHeight="1" s="119"/>
    <row r="886" ht="14.25" customFormat="1" customHeight="1" s="119"/>
    <row r="887" ht="14.25" customFormat="1" customHeight="1" s="119"/>
    <row r="888" ht="14.25" customFormat="1" customHeight="1" s="119"/>
    <row r="889" ht="14.25" customFormat="1" customHeight="1" s="119"/>
    <row r="890" ht="14.25" customFormat="1" customHeight="1" s="119"/>
    <row r="891" ht="14.25" customFormat="1" customHeight="1" s="119"/>
    <row r="892" ht="14.25" customFormat="1" customHeight="1" s="119"/>
    <row r="893" ht="14.25" customFormat="1" customHeight="1" s="119"/>
    <row r="894" ht="14.25" customFormat="1" customHeight="1" s="119"/>
    <row r="895" ht="14.25" customFormat="1" customHeight="1" s="119"/>
    <row r="896" ht="14.25" customFormat="1" customHeight="1" s="119"/>
    <row r="897" ht="14.25" customFormat="1" customHeight="1" s="119"/>
    <row r="898" ht="14.25" customFormat="1" customHeight="1" s="119"/>
    <row r="899" ht="14.25" customFormat="1" customHeight="1" s="119"/>
    <row r="900" ht="14.25" customFormat="1" customHeight="1" s="119"/>
    <row r="901" ht="14.25" customFormat="1" customHeight="1" s="119"/>
    <row r="902" ht="14.25" customFormat="1" customHeight="1" s="119"/>
    <row r="903" ht="14.25" customFormat="1" customHeight="1" s="119"/>
    <row r="904" ht="14.25" customFormat="1" customHeight="1" s="119"/>
    <row r="905" ht="14.25" customFormat="1" customHeight="1" s="119"/>
    <row r="906" ht="14.25" customFormat="1" customHeight="1" s="119"/>
    <row r="907" ht="14.25" customFormat="1" customHeight="1" s="119"/>
    <row r="908" ht="14.25" customFormat="1" customHeight="1" s="119"/>
    <row r="909" ht="14.25" customFormat="1" customHeight="1" s="119"/>
    <row r="910" ht="14.25" customFormat="1" customHeight="1" s="119"/>
    <row r="911" ht="14.25" customFormat="1" customHeight="1" s="119"/>
    <row r="912" ht="14.25" customFormat="1" customHeight="1" s="119"/>
    <row r="913" ht="14.25" customFormat="1" customHeight="1" s="119"/>
    <row r="914" ht="14.25" customFormat="1" customHeight="1" s="119"/>
    <row r="915" ht="14.25" customFormat="1" customHeight="1" s="119"/>
    <row r="916" ht="14.25" customFormat="1" customHeight="1" s="119"/>
    <row r="917" ht="14.25" customFormat="1" customHeight="1" s="119"/>
    <row r="918" ht="14.25" customFormat="1" customHeight="1" s="119"/>
    <row r="919" ht="14.25" customFormat="1" customHeight="1" s="119"/>
    <row r="920" ht="14.25" customFormat="1" customHeight="1" s="119"/>
    <row r="921" ht="14.25" customFormat="1" customHeight="1" s="119"/>
    <row r="922" ht="14.25" customFormat="1" customHeight="1" s="119"/>
    <row r="923" ht="14.25" customFormat="1" customHeight="1" s="119"/>
    <row r="924" ht="14.25" customFormat="1" customHeight="1" s="119"/>
    <row r="925" ht="14.25" customFormat="1" customHeight="1" s="119"/>
    <row r="926" ht="14.25" customFormat="1" customHeight="1" s="119"/>
    <row r="927" ht="14.25" customFormat="1" customHeight="1" s="119"/>
    <row r="928" ht="14.25" customFormat="1" customHeight="1" s="119"/>
    <row r="929" ht="14.25" customFormat="1" customHeight="1" s="119"/>
    <row r="930" ht="14.25" customFormat="1" customHeight="1" s="119"/>
    <row r="931" ht="14.25" customFormat="1" customHeight="1" s="119"/>
    <row r="932" ht="14.25" customFormat="1" customHeight="1" s="119"/>
    <row r="933" ht="14.25" customFormat="1" customHeight="1" s="119"/>
    <row r="934" ht="14.25" customFormat="1" customHeight="1" s="119"/>
    <row r="935" ht="14.25" customFormat="1" customHeight="1" s="119"/>
    <row r="936" ht="14.25" customFormat="1" customHeight="1" s="119"/>
    <row r="937" ht="14.25" customFormat="1" customHeight="1" s="119"/>
    <row r="938" ht="14.25" customFormat="1" customHeight="1" s="119"/>
    <row r="939" ht="14.25" customFormat="1" customHeight="1" s="119"/>
    <row r="940" ht="14.25" customFormat="1" customHeight="1" s="119"/>
    <row r="941" ht="14.25" customFormat="1" customHeight="1" s="119"/>
    <row r="942" ht="14.25" customFormat="1" customHeight="1" s="119"/>
    <row r="943" ht="14.25" customFormat="1" customHeight="1" s="119"/>
    <row r="944" ht="14.25" customFormat="1" customHeight="1" s="119"/>
    <row r="945" ht="14.25" customFormat="1" customHeight="1" s="119"/>
    <row r="946" ht="14.25" customFormat="1" customHeight="1" s="119"/>
    <row r="947" ht="14.25" customFormat="1" customHeight="1" s="119"/>
    <row r="948" ht="14.25" customFormat="1" customHeight="1" s="119"/>
    <row r="949" ht="14.25" customFormat="1" customHeight="1" s="119"/>
    <row r="950" ht="14.25" customFormat="1" customHeight="1" s="119"/>
    <row r="951" ht="14.25" customFormat="1" customHeight="1" s="119"/>
    <row r="952" ht="14.25" customFormat="1" customHeight="1" s="119"/>
    <row r="953" ht="14.25" customFormat="1" customHeight="1" s="119"/>
    <row r="954" ht="14.25" customFormat="1" customHeight="1" s="119"/>
    <row r="955" ht="14.25" customFormat="1" customHeight="1" s="119"/>
    <row r="956" ht="14.25" customFormat="1" customHeight="1" s="119"/>
    <row r="957" ht="14.25" customFormat="1" customHeight="1" s="119"/>
    <row r="958" ht="14.25" customFormat="1" customHeight="1" s="119"/>
    <row r="959" ht="14.25" customFormat="1" customHeight="1" s="119"/>
    <row r="960" ht="14.25" customFormat="1" customHeight="1" s="119"/>
    <row r="961" ht="14.25" customFormat="1" customHeight="1" s="119"/>
    <row r="962" ht="14.25" customFormat="1" customHeight="1" s="119"/>
    <row r="963" ht="14.25" customFormat="1" customHeight="1" s="119"/>
    <row r="964" ht="14.25" customFormat="1" customHeight="1" s="119"/>
    <row r="965" ht="14.25" customFormat="1" customHeight="1" s="119"/>
    <row r="966" ht="14.25" customFormat="1" customHeight="1" s="119"/>
    <row r="967" ht="14.25" customFormat="1" customHeight="1" s="119"/>
    <row r="968" ht="14.25" customFormat="1" customHeight="1" s="119"/>
    <row r="969" ht="14.25" customFormat="1" customHeight="1" s="119"/>
    <row r="970" ht="14.25" customFormat="1" customHeight="1" s="119"/>
    <row r="971" ht="14.25" customFormat="1" customHeight="1" s="119"/>
    <row r="972" ht="14.25" customFormat="1" customHeight="1" s="119"/>
    <row r="973" ht="14.25" customFormat="1" customHeight="1" s="119"/>
    <row r="974" ht="14.25" customFormat="1" customHeight="1" s="119"/>
    <row r="975" ht="14.25" customFormat="1" customHeight="1" s="119"/>
    <row r="976" ht="14.25" customFormat="1" customHeight="1" s="119"/>
    <row r="977" ht="14.25" customFormat="1" customHeight="1" s="119"/>
    <row r="978" ht="14.25" customFormat="1" customHeight="1" s="119"/>
    <row r="979" ht="14.25" customFormat="1" customHeight="1" s="119"/>
    <row r="980" ht="14.25" customFormat="1" customHeight="1" s="119"/>
    <row r="981" ht="14.25" customFormat="1" customHeight="1" s="119"/>
    <row r="982" ht="14.25" customFormat="1" customHeight="1" s="119"/>
    <row r="983" ht="14.25" customFormat="1" customHeight="1" s="119"/>
    <row r="984" ht="14.25" customFormat="1" customHeight="1" s="119"/>
    <row r="985" ht="14.25" customFormat="1" customHeight="1" s="119"/>
    <row r="986" ht="14.25" customFormat="1" customHeight="1" s="119"/>
  </sheetData>
  <mergeCells count="22">
    <mergeCell ref="A15:B15"/>
    <mergeCell ref="A11:B11"/>
    <mergeCell ref="A6:B6"/>
    <mergeCell ref="A2:C2"/>
    <mergeCell ref="A16:B16"/>
    <mergeCell ref="A7:B7"/>
    <mergeCell ref="A22:C22"/>
    <mergeCell ref="A18:B18"/>
    <mergeCell ref="A3:B3"/>
    <mergeCell ref="A12:B12"/>
    <mergeCell ref="A1:D1"/>
    <mergeCell ref="A21:B21"/>
    <mergeCell ref="A5:B5"/>
    <mergeCell ref="A14:B14"/>
    <mergeCell ref="A17:B17"/>
    <mergeCell ref="A8:B8"/>
    <mergeCell ref="A4:B4"/>
    <mergeCell ref="A20:B20"/>
    <mergeCell ref="A19:B19"/>
    <mergeCell ref="A10:B10"/>
    <mergeCell ref="A13:B13"/>
    <mergeCell ref="A9:B9"/>
  </mergeCells>
  <hyperlinks>
    <hyperlink ref="D4" location="'D1. Work-related Car Expenses'!A1" display="D1"/>
    <hyperlink ref="D5" location="'D2. Work-related travel expense'!A1" display="D2"/>
    <hyperlink ref="D6" location="'D3. Work-related clothing'!A1" display="D3"/>
    <hyperlink ref="D7" location="'D4. Self-education'!A1" display="D4"/>
    <hyperlink ref="D8" location="'D5. Other work-related expenses'!A1" display="D5"/>
    <hyperlink ref="D9" location="'D5. Depreciable expenses'!A1" display="D5 - Depreciation"/>
    <hyperlink ref="D10" location="'D6. Low value pool deduction'!A1" display="D6"/>
    <hyperlink ref="D11" location="'D7. Interest deductions'!A1" display="D7"/>
    <hyperlink ref="D12" location="'D8. Dividend deductions'!A1" display="D8"/>
    <hyperlink ref="D13" location="'D9. Gifts or donations'!A1" display="D9"/>
    <hyperlink ref="D14" location="'D10. Cost of managing tax affai'!A1" display="D10"/>
    <hyperlink ref="D15" location="'D5. Depreciable expenses'!A1" display="D11"/>
    <hyperlink ref="D16" location="'D12. Personal superannuation co'!A1" display="D12"/>
    <hyperlink ref="D17" location="'D13. Deduction for project pool'!A1" display="D13"/>
    <hyperlink ref="D18" location="'D14. Forestry managed investmen'!A1" display="D14"/>
    <hyperlink ref="D19" location="'D15. Other deductions'!A1" display="D15"/>
    <hyperlink ref="D20" location="'L1. Tax losses of earlier incom'!A1" display="L1"/>
    <hyperlink ref="A26" location="'D1. Work-related Car Expenses'!A1" display="Next"/>
  </hyperlinks>
  <printOptions horizontalCentered="1"/>
  <pageMargins left="0.7086614173228347" right="0.7086614173228347" top="0.7480314960629921" bottom="0.7480314960629921" header="0" footer="0"/>
  <pageSetup orientation="portrait" paperSize="9"/>
  <headerFooter>
    <oddHeader/>
    <oddFooter>&amp;L© 2021 ChangeGPS Pty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2"/>
  <sheetViews>
    <sheetView showGridLines="0" zoomScale="60" zoomScaleNormal="60" workbookViewId="0">
      <selection activeCell="D10" sqref="D10"/>
    </sheetView>
  </sheetViews>
  <sheetFormatPr baseColWidth="10" defaultColWidth="14.453125" defaultRowHeight="14.5"/>
  <cols>
    <col width="18.7265625" bestFit="1" customWidth="1" style="119" min="1" max="1"/>
    <col width="15.7265625" bestFit="1" customWidth="1" style="119" min="2" max="2"/>
    <col width="10.81640625" bestFit="1" customWidth="1" style="119" min="3" max="3"/>
    <col width="81.26953125" customWidth="1" style="119" min="4" max="4"/>
    <col width="8.6328125" customWidth="1" style="119" min="5" max="26"/>
    <col width="14.453125" customWidth="1" style="119" min="27" max="16384"/>
  </cols>
  <sheetData>
    <row r="1" ht="21" customHeight="1" s="89">
      <c r="A1" s="181" t="inlineStr">
        <is>
          <t>D1. Work-related Car Expenses</t>
        </is>
      </c>
      <c r="B1" s="159" t="n"/>
      <c r="C1" s="159" t="n"/>
      <c r="D1" s="1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</row>
    <row r="2" ht="18.5" customHeight="1" s="89">
      <c r="A2" s="60" t="n"/>
      <c r="B2" s="61" t="n"/>
      <c r="C2" s="62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</row>
    <row r="3" ht="21" customHeight="1" s="89">
      <c r="A3" s="63" t="inlineStr">
        <is>
          <t>Full Cost</t>
        </is>
      </c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</row>
    <row r="4" ht="18.5" customHeight="1" s="89">
      <c r="A4" s="174" t="inlineStr">
        <is>
          <t>Expense</t>
        </is>
      </c>
      <c r="C4" s="6" t="inlineStr">
        <is>
          <t>Amount</t>
        </is>
      </c>
      <c r="D4" s="6" t="inlineStr">
        <is>
          <t>Reference</t>
        </is>
      </c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</row>
    <row r="5" ht="15.5" customHeight="1" s="89">
      <c r="A5" s="64" t="n"/>
      <c r="B5" s="170" t="n"/>
      <c r="C5" s="37" t="n"/>
      <c r="D5" s="64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</row>
    <row r="6" ht="15.5" customHeight="1" s="89">
      <c r="A6" s="64" t="n"/>
      <c r="B6" s="170" t="n"/>
      <c r="C6" s="37" t="n"/>
      <c r="D6" s="64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</row>
    <row r="7" ht="15.5" customHeight="1" s="89">
      <c r="A7" s="64" t="n"/>
      <c r="B7" s="170" t="n"/>
      <c r="C7" s="37" t="n"/>
      <c r="D7" s="65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</row>
    <row r="8" ht="15.5" customHeight="1" s="89">
      <c r="A8" s="64" t="n"/>
      <c r="B8" s="170" t="n"/>
      <c r="C8" s="37" t="n"/>
      <c r="D8" s="64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</row>
    <row r="9" ht="15.5" customHeight="1" s="89">
      <c r="A9" s="64" t="n"/>
      <c r="B9" s="170" t="n"/>
      <c r="C9" s="37" t="n"/>
      <c r="D9" s="64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</row>
    <row r="10" ht="15.5" customHeight="1" s="89">
      <c r="A10" s="64" t="n"/>
      <c r="B10" s="170" t="n"/>
      <c r="C10" s="37" t="n"/>
      <c r="D10" s="64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</row>
    <row r="11" ht="15.5" customHeight="1" s="89">
      <c r="A11" s="64" t="n"/>
      <c r="B11" s="170" t="n"/>
      <c r="C11" s="37" t="n"/>
      <c r="D11" s="64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</row>
    <row r="12" ht="15.5" customHeight="1" s="89">
      <c r="A12" s="68" t="inlineStr">
        <is>
          <t>Total Expenses</t>
        </is>
      </c>
      <c r="B12" s="170" t="n"/>
      <c r="C12" s="66">
        <f>SUM(C5:C11)</f>
        <v/>
      </c>
      <c r="D12" s="64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</row>
    <row r="13" ht="15.5" customHeight="1" s="89">
      <c r="A13" s="64" t="inlineStr">
        <is>
          <t>Logbook Percentage (%)</t>
        </is>
      </c>
      <c r="B13" s="170" t="n"/>
      <c r="C13" s="67" t="n"/>
      <c r="D13" s="64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</row>
    <row r="14" ht="15.5" customHeight="1" s="89">
      <c r="A14" s="68" t="inlineStr">
        <is>
          <t>Total Deduction</t>
        </is>
      </c>
      <c r="B14" s="170" t="n"/>
      <c r="C14" s="66">
        <f>C12*C13</f>
        <v/>
      </c>
      <c r="D14" s="68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</row>
    <row r="15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</row>
    <row r="16" ht="21" customHeight="1" s="89">
      <c r="A16" s="63" t="inlineStr">
        <is>
          <t>Mileage</t>
        </is>
      </c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</row>
    <row r="17" ht="18.5" customHeight="1" s="89">
      <c r="A17" s="6" t="inlineStr">
        <is>
          <t>Number of Km's</t>
        </is>
      </c>
      <c r="B17" s="6" t="inlineStr">
        <is>
          <t>Cents Per Km</t>
        </is>
      </c>
      <c r="C17" s="6" t="inlineStr">
        <is>
          <t>Amount</t>
        </is>
      </c>
      <c r="D17" s="6" t="inlineStr">
        <is>
          <t>Reference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</row>
    <row r="18" ht="35.5" customHeight="1" s="89">
      <c r="A18" s="69" t="n"/>
      <c r="B18" s="69" t="n"/>
      <c r="C18" s="69">
        <f>A18*B18</f>
        <v/>
      </c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</row>
    <row r="19" ht="15.5" customHeight="1" s="89">
      <c r="A19" s="68" t="inlineStr">
        <is>
          <t>Total</t>
        </is>
      </c>
      <c r="B19" s="170" t="n"/>
      <c r="C19" s="66">
        <f>C18</f>
        <v/>
      </c>
      <c r="D19" s="64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</row>
    <row r="22" ht="18.5" customHeight="1" s="89">
      <c r="A22" s="54" t="inlineStr">
        <is>
          <t>Navigation</t>
        </is>
      </c>
      <c r="B22" s="182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</row>
    <row r="23">
      <c r="A23" s="38" t="inlineStr">
        <is>
          <t>Next</t>
        </is>
      </c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</row>
    <row r="24">
      <c r="A24" s="38" t="inlineStr">
        <is>
          <t>Home</t>
        </is>
      </c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</row>
    <row r="25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</row>
    <row r="26">
      <c r="A26" s="59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</row>
    <row r="28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</row>
    <row r="29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</row>
    <row r="30">
      <c r="A30" s="59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</row>
    <row r="31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</row>
    <row r="32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</row>
    <row r="33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</row>
    <row r="34">
      <c r="A34" s="59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</row>
    <row r="36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</row>
    <row r="37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</row>
    <row r="38">
      <c r="A38" s="59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</row>
    <row r="39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</row>
    <row r="40">
      <c r="A40" s="59" t="n"/>
      <c r="B40" s="59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</row>
    <row r="44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</row>
    <row r="46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</row>
    <row r="7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</row>
    <row r="80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</row>
    <row r="82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</row>
    <row r="86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</row>
    <row r="8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  <c r="Z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  <c r="Z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  <c r="Z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  <c r="Z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  <c r="Z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  <c r="Z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  <c r="Z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  <c r="Z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  <c r="Z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  <c r="Z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  <c r="Z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  <c r="Z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  <c r="Z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  <c r="Z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  <c r="Z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  <c r="Z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  <c r="Z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  <c r="Z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  <c r="Z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  <c r="Z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  <c r="Z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  <c r="Z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  <c r="Z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  <c r="Z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  <c r="Z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  <c r="Z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  <c r="Z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  <c r="Z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  <c r="Z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  <c r="Z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  <c r="Z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  <c r="Z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  <c r="Z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  <c r="Z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  <c r="Z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  <c r="Z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  <c r="Z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  <c r="Z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  <c r="Z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  <c r="Z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  <c r="Z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  <c r="Z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  <c r="Z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  <c r="Z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  <c r="Z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  <c r="Z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  <c r="Z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  <c r="Z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  <c r="Z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  <c r="Z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  <c r="Z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  <c r="Z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  <c r="Z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  <c r="Z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  <c r="Z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  <c r="Z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  <c r="Z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  <c r="Z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  <c r="Z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  <c r="Z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  <c r="Z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  <c r="Z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  <c r="Z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  <c r="Z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  <c r="Z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  <c r="Z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  <c r="Z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  <c r="Z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  <c r="Z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  <c r="Z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  <c r="Z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  <c r="Z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  <c r="Z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  <c r="Z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  <c r="Z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  <c r="Z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  <c r="Z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  <c r="Z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  <c r="Z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  <c r="Z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  <c r="Z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  <c r="Z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  <c r="Z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  <c r="Z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  <c r="Z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  <c r="Z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  <c r="Z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  <c r="Z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  <c r="Z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  <c r="Z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  <c r="Z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  <c r="Z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  <c r="Z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  <c r="Z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  <c r="Z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  <c r="Z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  <c r="Z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  <c r="Z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  <c r="Z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  <c r="Z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  <c r="Z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  <c r="Z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  <c r="Z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  <c r="Z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  <c r="Z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  <c r="Z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  <c r="Z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  <c r="Z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  <c r="Z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  <c r="Z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  <c r="Z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  <c r="Z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  <c r="Z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  <c r="Z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  <c r="Z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  <c r="Z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  <c r="Z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  <c r="Z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  <c r="Z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  <c r="Z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  <c r="Z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  <c r="Z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  <c r="Z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  <c r="Z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  <c r="Z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  <c r="Z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  <c r="Z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  <c r="Z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  <c r="Z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  <c r="Z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  <c r="Z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  <c r="Z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  <c r="Z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  <c r="Z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  <c r="Z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  <c r="Z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  <c r="Z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  <c r="Z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  <c r="Z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  <c r="Z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  <c r="Z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  <c r="Z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  <c r="Z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  <c r="Z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  <c r="Z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  <c r="Z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  <c r="Z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  <c r="Z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  <c r="Z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  <c r="Z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  <c r="Z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  <c r="Z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  <c r="Z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  <c r="Z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  <c r="Z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  <c r="Z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  <c r="Z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  <c r="Z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  <c r="Z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  <c r="Z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  <c r="Z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  <c r="Z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  <c r="Z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  <c r="Z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  <c r="Z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  <c r="Z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  <c r="Z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  <c r="Z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  <c r="Z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  <c r="Z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  <c r="Z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  <c r="Z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  <c r="Z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  <c r="Z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  <c r="Z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  <c r="Z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  <c r="Z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  <c r="Z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  <c r="Z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  <c r="Z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  <c r="Z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  <c r="Z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  <c r="Z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  <c r="Z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  <c r="Z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  <c r="Z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  <c r="Z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  <c r="Z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  <c r="Z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  <c r="Z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  <c r="Z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  <c r="Z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  <c r="Z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  <c r="Z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  <c r="Z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  <c r="Z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  <c r="Z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  <c r="Z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  <c r="Z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  <c r="Z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  <c r="Z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  <c r="Z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  <c r="Z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  <c r="Z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  <c r="Z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  <c r="Z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  <c r="Z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  <c r="Z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  <c r="Z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  <c r="Z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  <c r="Z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  <c r="Z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  <c r="Z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  <c r="Z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</row>
    <row r="1001">
      <c r="A1001" s="59" t="n"/>
      <c r="B1001" s="59" t="n"/>
      <c r="C1001" s="59" t="n"/>
      <c r="D1001" s="59" t="n"/>
      <c r="E1001" s="59" t="n"/>
      <c r="F1001" s="59" t="n"/>
      <c r="G1001" s="59" t="n"/>
      <c r="H1001" s="59" t="n"/>
      <c r="I1001" s="59" t="n"/>
      <c r="J1001" s="59" t="n"/>
      <c r="K1001" s="59" t="n"/>
      <c r="L1001" s="59" t="n"/>
      <c r="M1001" s="59" t="n"/>
      <c r="N1001" s="59" t="n"/>
      <c r="O1001" s="59" t="n"/>
      <c r="P1001" s="59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  <c r="Z1001" s="59" t="n"/>
    </row>
    <row r="1002">
      <c r="A1002" s="59" t="n"/>
      <c r="B1002" s="59" t="n"/>
      <c r="C1002" s="59" t="n"/>
      <c r="D1002" s="59" t="n"/>
      <c r="E1002" s="59" t="n"/>
      <c r="F1002" s="59" t="n"/>
      <c r="G1002" s="59" t="n"/>
      <c r="H1002" s="59" t="n"/>
      <c r="I1002" s="59" t="n"/>
      <c r="J1002" s="59" t="n"/>
      <c r="K1002" s="59" t="n"/>
      <c r="L1002" s="59" t="n"/>
      <c r="M1002" s="59" t="n"/>
      <c r="N1002" s="59" t="n"/>
      <c r="O1002" s="59" t="n"/>
      <c r="P1002" s="59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  <c r="Z1002" s="59" t="n"/>
    </row>
  </sheetData>
  <mergeCells count="14">
    <mergeCell ref="A4:B4"/>
    <mergeCell ref="A1:D1"/>
    <mergeCell ref="A7:B7"/>
    <mergeCell ref="A19:B19"/>
    <mergeCell ref="B22:D22"/>
    <mergeCell ref="A11:B11"/>
    <mergeCell ref="A10:B10"/>
    <mergeCell ref="A5:B5"/>
    <mergeCell ref="A13:B13"/>
    <mergeCell ref="A14:B14"/>
    <mergeCell ref="A9:B9"/>
    <mergeCell ref="A8:B8"/>
    <mergeCell ref="A6:B6"/>
    <mergeCell ref="A12:B12"/>
  </mergeCells>
  <hyperlinks>
    <hyperlink ref="A23" location="'D2. Work-related travel expense'!A1" display="Next"/>
    <hyperlink ref="A24" location="Expenses!A1" display="Home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zoomScale="60" zoomScaleNormal="60" workbookViewId="0">
      <pane xSplit="4" ySplit="20" topLeftCell="E24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6328125" bestFit="1" customWidth="1" style="89" min="1" max="1"/>
    <col width="36.6328125" customWidth="1" style="89" min="2" max="2"/>
    <col width="9.90625" bestFit="1" customWidth="1" style="89" min="3" max="3"/>
    <col width="12.36328125" bestFit="1" customWidth="1" style="89" min="4" max="4"/>
    <col width="8.6328125" customWidth="1" style="89" min="5" max="26"/>
  </cols>
  <sheetData>
    <row r="1" ht="21" customHeight="1" s="89">
      <c r="A1" s="183" t="inlineStr">
        <is>
          <t>D2. Work-related travel expenses</t>
        </is>
      </c>
      <c r="B1" s="159" t="n"/>
      <c r="C1" s="159" t="n"/>
      <c r="D1" s="159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8.5" customHeight="1" s="89">
      <c r="A2" s="9" t="n"/>
      <c r="B2" s="10" t="n"/>
      <c r="C2" s="11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5.5" customHeight="1" s="89">
      <c r="A4" s="12" t="n"/>
      <c r="B4" s="164" t="n"/>
      <c r="C4" s="5" t="n"/>
      <c r="D4" s="12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5.5" customHeight="1" s="89">
      <c r="A5" s="13" t="n"/>
      <c r="B5" s="170" t="n"/>
      <c r="C5" s="7" t="n"/>
      <c r="D5" s="13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5.5" customHeight="1" s="89">
      <c r="A6" s="13" t="n"/>
      <c r="B6" s="170" t="n"/>
      <c r="C6" s="7" t="n"/>
      <c r="D6" s="13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5.5" customHeight="1" s="89">
      <c r="A7" s="13" t="n"/>
      <c r="B7" s="170" t="n"/>
      <c r="C7" s="7" t="n"/>
      <c r="D7" s="13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5.5" customHeight="1" s="89">
      <c r="A8" s="13" t="n"/>
      <c r="B8" s="170" t="n"/>
      <c r="C8" s="7" t="n"/>
      <c r="D8" s="13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5.5" customHeight="1" s="89">
      <c r="A9" s="13" t="n"/>
      <c r="B9" s="170" t="n"/>
      <c r="C9" s="7" t="n"/>
      <c r="D9" s="13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5.5" customHeight="1" s="89">
      <c r="A10" s="13" t="n"/>
      <c r="B10" s="170" t="n"/>
      <c r="C10" s="7" t="n"/>
      <c r="D10" s="13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5.5" customHeight="1" s="89">
      <c r="A11" s="13" t="n"/>
      <c r="B11" s="170" t="n"/>
      <c r="C11" s="7" t="n"/>
      <c r="D11" s="13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5.5" customHeight="1" s="89">
      <c r="A12" s="13" t="n"/>
      <c r="B12" s="170" t="n"/>
      <c r="C12" s="7" t="n"/>
      <c r="D12" s="12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5.5" customHeight="1" s="89">
      <c r="A13" s="13" t="n"/>
      <c r="B13" s="170" t="n"/>
      <c r="C13" s="7" t="n"/>
      <c r="D13" s="13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5.5" customHeight="1" s="89">
      <c r="A14" s="13" t="n"/>
      <c r="B14" s="170" t="n"/>
      <c r="C14" s="7" t="n"/>
      <c r="D14" s="13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5.5" customHeight="1" s="89">
      <c r="A15" s="13" t="n"/>
      <c r="B15" s="170" t="n"/>
      <c r="C15" s="7" t="n"/>
      <c r="D15" s="13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5.5" customHeight="1" s="89">
      <c r="A16" s="13" t="n"/>
      <c r="B16" s="170" t="n"/>
      <c r="C16" s="7" t="n"/>
      <c r="D16" s="13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5.5" customHeight="1" s="89">
      <c r="A17" s="184" t="inlineStr">
        <is>
          <t>Total</t>
        </is>
      </c>
      <c r="B17" s="170" t="n"/>
      <c r="C17" s="14">
        <f>SUM(C4:C16)</f>
        <v/>
      </c>
      <c r="D17" s="13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8.5" customHeight="1" s="89">
      <c r="A20" s="15" t="inlineStr">
        <is>
          <t>Navigation</t>
        </is>
      </c>
      <c r="B20" s="16" t="n"/>
      <c r="C20" s="185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3" t="inlineStr">
        <is>
          <t>Next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3" t="inlineStr">
        <is>
          <t>Home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3. Work-related clothing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C5" sqref="C5"/>
    </sheetView>
  </sheetViews>
  <sheetFormatPr baseColWidth="10" defaultColWidth="14.453125" defaultRowHeight="14.5"/>
  <cols>
    <col width="18.6328125" customWidth="1" style="89" min="1" max="1"/>
    <col width="36.6328125" customWidth="1" style="89" min="2" max="2"/>
    <col width="9.90625" bestFit="1" customWidth="1" style="89" min="3" max="3"/>
    <col width="77" bestFit="1" customWidth="1" style="89" min="4" max="4"/>
    <col width="8.6328125" customWidth="1" style="89" min="5" max="26"/>
  </cols>
  <sheetData>
    <row r="1" ht="21" customHeight="1" s="89">
      <c r="A1" s="183" t="inlineStr">
        <is>
          <t>D3. Work-related clothing, laundry and dry cleaning expenses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86" t="n"/>
      <c r="B4" s="164" t="n"/>
      <c r="C4" s="17" t="n"/>
      <c r="D4" s="12" t="n"/>
    </row>
    <row r="5" ht="15.5" customHeight="1" s="89">
      <c r="A5" s="187" t="n"/>
      <c r="B5" s="170" t="n"/>
      <c r="C5" s="18" t="n"/>
      <c r="D5" s="13" t="n"/>
    </row>
    <row r="6" ht="15.5" customHeight="1" s="89">
      <c r="A6" s="187" t="n"/>
      <c r="B6" s="170" t="n"/>
      <c r="C6" s="18" t="n"/>
      <c r="D6" s="13" t="n"/>
    </row>
    <row r="7" ht="15.5" customHeight="1" s="89">
      <c r="A7" s="187" t="n"/>
      <c r="B7" s="170" t="n"/>
      <c r="C7" s="18" t="n"/>
      <c r="D7" s="13" t="n"/>
    </row>
    <row r="8" ht="15.5" customHeight="1" s="89">
      <c r="A8" s="187" t="n"/>
      <c r="B8" s="170" t="n"/>
      <c r="C8" s="18" t="n"/>
      <c r="D8" s="13" t="n"/>
    </row>
    <row r="9" ht="15.5" customHeight="1" s="89">
      <c r="A9" s="187" t="n"/>
      <c r="B9" s="170" t="n"/>
      <c r="C9" s="18" t="n"/>
      <c r="D9" s="13" t="n"/>
    </row>
    <row r="10" ht="15.5" customHeight="1" s="89">
      <c r="A10" s="187" t="n"/>
      <c r="B10" s="170" t="n"/>
      <c r="C10" s="18" t="n"/>
      <c r="D10" s="13" t="n"/>
    </row>
    <row r="11" ht="15.5" customHeight="1" s="89">
      <c r="A11" s="187" t="n"/>
      <c r="B11" s="170" t="n"/>
      <c r="C11" s="18" t="n"/>
      <c r="D11" s="13" t="n"/>
    </row>
    <row r="12" ht="15.5" customHeight="1" s="89">
      <c r="A12" s="187" t="n"/>
      <c r="B12" s="170" t="n"/>
      <c r="C12" s="18" t="n"/>
      <c r="D12" s="12" t="n"/>
    </row>
    <row r="13" ht="15.5" customHeight="1" s="89">
      <c r="A13" s="187" t="n"/>
      <c r="B13" s="170" t="n"/>
      <c r="C13" s="18" t="n"/>
      <c r="D13" s="13" t="n"/>
    </row>
    <row r="14" ht="15.5" customHeight="1" s="89">
      <c r="A14" s="187" t="n"/>
      <c r="B14" s="170" t="n"/>
      <c r="C14" s="18" t="n"/>
      <c r="D14" s="13" t="n"/>
    </row>
    <row r="15" ht="15.5" customHeight="1" s="89">
      <c r="A15" s="187" t="n"/>
      <c r="B15" s="170" t="n"/>
      <c r="C15" s="18" t="n"/>
      <c r="D15" s="13" t="n"/>
    </row>
    <row r="16" ht="15.5" customHeight="1" s="89">
      <c r="A16" s="187" t="n"/>
      <c r="B16" s="170" t="n"/>
      <c r="C16" s="18" t="n"/>
      <c r="D16" s="13" t="n"/>
    </row>
    <row r="17" ht="15.5" customHeight="1" s="89">
      <c r="A17" s="184" t="inlineStr">
        <is>
          <t>Total</t>
        </is>
      </c>
      <c r="B17" s="170" t="n"/>
      <c r="C17" s="14">
        <f>SUM(C4:C16)</f>
        <v/>
      </c>
      <c r="D17" s="13" t="n"/>
    </row>
    <row r="20" ht="18.5" customHeight="1" s="89">
      <c r="A20" s="15" t="inlineStr">
        <is>
          <t>Navigation</t>
        </is>
      </c>
      <c r="B20" s="16" t="n"/>
      <c r="C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4. Self-education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F5" sqref="F5"/>
    </sheetView>
  </sheetViews>
  <sheetFormatPr baseColWidth="10" defaultColWidth="12.36328125" defaultRowHeight="14.5"/>
  <cols>
    <col width="12.36328125" customWidth="1" style="119" min="1" max="6"/>
    <col width="12.36328125" customWidth="1" style="119" min="7" max="7"/>
    <col width="12.36328125" customWidth="1" style="119" min="8" max="16384"/>
  </cols>
  <sheetData>
    <row r="1" ht="21" customHeight="1" s="89">
      <c r="A1" s="181" t="inlineStr">
        <is>
          <t>D4. Work-related self-education expenses</t>
        </is>
      </c>
      <c r="B1" s="159" t="n"/>
      <c r="C1" s="159" t="n"/>
      <c r="D1" s="159" t="n"/>
    </row>
    <row r="2" ht="18.5" customHeight="1" s="89">
      <c r="A2" s="60" t="n"/>
      <c r="B2" s="61" t="n"/>
      <c r="C2" s="62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35" customHeight="1" s="89">
      <c r="A4" s="188" t="n"/>
      <c r="B4" s="164" t="n"/>
      <c r="C4" s="72" t="n"/>
      <c r="D4" s="65" t="n"/>
    </row>
    <row r="5" ht="35" customHeight="1" s="89">
      <c r="A5" s="188" t="n"/>
      <c r="B5" s="164" t="n"/>
      <c r="C5" s="72" t="n"/>
      <c r="D5" s="64" t="n"/>
    </row>
    <row r="6" ht="15.5" customHeight="1" s="89">
      <c r="A6" s="133" t="n"/>
      <c r="B6" s="170" t="n"/>
      <c r="C6" s="73" t="n"/>
      <c r="D6" s="64" t="n"/>
    </row>
    <row r="7" ht="15.5" customHeight="1" s="89">
      <c r="A7" s="133" t="n"/>
      <c r="B7" s="170" t="n"/>
      <c r="C7" s="73" t="n"/>
      <c r="D7" s="64" t="n"/>
    </row>
    <row r="8" ht="15.5" customHeight="1" s="89">
      <c r="A8" s="133" t="n"/>
      <c r="B8" s="170" t="n"/>
      <c r="C8" s="73" t="n"/>
      <c r="D8" s="64" t="n"/>
    </row>
    <row r="9" ht="15.5" customHeight="1" s="89">
      <c r="A9" s="133" t="n"/>
      <c r="B9" s="170" t="n"/>
      <c r="C9" s="73" t="n"/>
      <c r="D9" s="64" t="n"/>
    </row>
    <row r="10" ht="15.5" customHeight="1" s="89">
      <c r="A10" s="133" t="n"/>
      <c r="B10" s="170" t="n"/>
      <c r="C10" s="73" t="n"/>
      <c r="D10" s="64" t="n"/>
    </row>
    <row r="11" ht="15.5" customHeight="1" s="89">
      <c r="A11" s="133" t="n"/>
      <c r="B11" s="170" t="n"/>
      <c r="C11" s="73" t="n"/>
      <c r="D11" s="64" t="n"/>
    </row>
    <row r="12" ht="15.5" customHeight="1" s="89">
      <c r="A12" s="133" t="n"/>
      <c r="B12" s="170" t="n"/>
      <c r="C12" s="73" t="n"/>
      <c r="D12" s="65" t="n"/>
    </row>
    <row r="13" ht="15.5" customHeight="1" s="89">
      <c r="A13" s="133" t="n"/>
      <c r="B13" s="170" t="n"/>
      <c r="C13" s="73" t="n"/>
      <c r="D13" s="64" t="n"/>
    </row>
    <row r="14" ht="15.5" customHeight="1" s="89">
      <c r="A14" s="133" t="n"/>
      <c r="B14" s="170" t="n"/>
      <c r="C14" s="73" t="n"/>
      <c r="D14" s="64" t="n"/>
    </row>
    <row r="15" ht="15.5" customHeight="1" s="89">
      <c r="A15" s="133" t="n"/>
      <c r="B15" s="170" t="n"/>
      <c r="C15" s="73" t="n"/>
      <c r="D15" s="64" t="n"/>
    </row>
    <row r="16" ht="15.5" customHeight="1" s="89">
      <c r="A16" s="133" t="n"/>
      <c r="B16" s="170" t="n"/>
      <c r="C16" s="73" t="n"/>
      <c r="D16" s="64" t="n"/>
    </row>
    <row r="17" ht="15.5" customHeight="1" s="89">
      <c r="A17" s="189" t="inlineStr">
        <is>
          <t>Total</t>
        </is>
      </c>
      <c r="B17" s="170" t="n"/>
      <c r="C17" s="74">
        <f>SUM(C4:C16)</f>
        <v/>
      </c>
      <c r="D17" s="64" t="n"/>
    </row>
    <row r="20" ht="18.5" customHeight="1" s="89">
      <c r="A20" s="54" t="inlineStr">
        <is>
          <t>Navigation</t>
        </is>
      </c>
      <c r="B20" s="55" t="n"/>
      <c r="C20" s="182" t="n"/>
    </row>
    <row r="21">
      <c r="A21" s="38" t="inlineStr">
        <is>
          <t>Next</t>
        </is>
      </c>
    </row>
    <row r="22">
      <c r="A22" s="38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5. Other work-related expenses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D10" sqref="D10"/>
    </sheetView>
  </sheetViews>
  <sheetFormatPr baseColWidth="10" defaultColWidth="14.453125" defaultRowHeight="14.5"/>
  <cols>
    <col width="12.6328125" bestFit="1" customWidth="1" style="119" min="1" max="1"/>
    <col width="36.6328125" customWidth="1" style="119" min="2" max="2"/>
    <col width="9.90625" bestFit="1" customWidth="1" style="119" min="3" max="3"/>
    <col width="95.26953125" bestFit="1" customWidth="1" style="119" min="4" max="4"/>
    <col width="8.6328125" customWidth="1" style="119" min="5" max="26"/>
    <col width="14.453125" customWidth="1" style="119" min="27" max="16384"/>
  </cols>
  <sheetData>
    <row r="1" ht="21" customHeight="1" s="89">
      <c r="A1" s="181" t="inlineStr">
        <is>
          <t>D5. Other work-related expenses</t>
        </is>
      </c>
      <c r="B1" s="159" t="n"/>
      <c r="C1" s="159" t="n"/>
      <c r="D1" s="159" t="n"/>
    </row>
    <row r="2" ht="18.5" customHeight="1" s="89">
      <c r="A2" s="60" t="n"/>
      <c r="B2" s="61" t="n"/>
      <c r="C2" s="62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34.5" customHeight="1" s="89">
      <c r="A4" s="188" t="n"/>
      <c r="B4" s="164" t="n"/>
      <c r="C4" s="72" t="n"/>
      <c r="D4" s="65" t="n"/>
    </row>
    <row r="5" ht="15.5" customHeight="1" s="89">
      <c r="A5" s="188" t="n"/>
      <c r="B5" s="164" t="n"/>
      <c r="C5" s="72" t="n"/>
      <c r="D5" s="64" t="n"/>
    </row>
    <row r="6" ht="15.5" customHeight="1" s="89">
      <c r="A6" s="188" t="n"/>
      <c r="B6" s="164" t="n"/>
      <c r="C6" s="72" t="n"/>
      <c r="D6" s="64" t="n"/>
    </row>
    <row r="7" ht="15.5" customHeight="1" s="89">
      <c r="A7" s="188" t="n"/>
      <c r="B7" s="164" t="n"/>
      <c r="C7" s="72" t="n"/>
      <c r="D7" s="64" t="n"/>
    </row>
    <row r="8" ht="15.5" customHeight="1" s="89">
      <c r="A8" s="188" t="n"/>
      <c r="B8" s="164" t="n"/>
      <c r="C8" s="72" t="n"/>
      <c r="D8" s="64" t="n"/>
    </row>
    <row r="9" ht="15.5" customHeight="1" s="89">
      <c r="A9" s="133" t="n"/>
      <c r="B9" s="170" t="n"/>
      <c r="C9" s="73" t="n"/>
      <c r="D9" s="64" t="n"/>
    </row>
    <row r="10" ht="15.5" customHeight="1" s="89">
      <c r="A10" s="133" t="n"/>
      <c r="B10" s="170" t="n"/>
      <c r="C10" s="73" t="n"/>
      <c r="D10" s="64" t="n"/>
    </row>
    <row r="11" ht="15.5" customHeight="1" s="89">
      <c r="A11" s="133" t="n"/>
      <c r="B11" s="170" t="n"/>
      <c r="C11" s="73" t="n"/>
      <c r="D11" s="64" t="n"/>
    </row>
    <row r="12" ht="15.5" customHeight="1" s="89">
      <c r="A12" s="133" t="n"/>
      <c r="B12" s="170" t="n"/>
      <c r="C12" s="73" t="n"/>
      <c r="D12" s="65" t="n"/>
    </row>
    <row r="13" ht="15.5" customHeight="1" s="89">
      <c r="A13" s="133" t="n"/>
      <c r="B13" s="170" t="n"/>
      <c r="C13" s="73" t="n"/>
      <c r="D13" s="75" t="n"/>
    </row>
    <row r="14" ht="15.5" customHeight="1" s="89">
      <c r="A14" s="133" t="n"/>
      <c r="B14" s="170" t="n"/>
      <c r="C14" s="73" t="n"/>
      <c r="D14" s="64" t="n"/>
    </row>
    <row r="15" ht="15.5" customHeight="1" s="89">
      <c r="A15" s="133" t="n"/>
      <c r="B15" s="170" t="n"/>
      <c r="C15" s="73" t="n"/>
      <c r="D15" s="64" t="n"/>
    </row>
    <row r="16" ht="15.5" customHeight="1" s="89">
      <c r="A16" s="133" t="n"/>
      <c r="B16" s="170" t="n"/>
      <c r="C16" s="73" t="n"/>
      <c r="D16" s="64" t="n"/>
    </row>
    <row r="17" ht="15.5" customHeight="1" s="89">
      <c r="A17" s="189" t="inlineStr">
        <is>
          <t>Total</t>
        </is>
      </c>
      <c r="B17" s="170" t="n"/>
      <c r="C17" s="74">
        <f>SUM(C4:C16)</f>
        <v/>
      </c>
      <c r="D17" s="64" t="n"/>
    </row>
    <row r="20" ht="18.5" customHeight="1" s="89">
      <c r="A20" s="54" t="inlineStr">
        <is>
          <t>Navigation</t>
        </is>
      </c>
      <c r="B20" s="55" t="n"/>
      <c r="C20" s="182" t="n"/>
    </row>
    <row r="21">
      <c r="A21" s="38" t="inlineStr">
        <is>
          <t>Next</t>
        </is>
      </c>
    </row>
    <row r="22">
      <c r="A22" s="38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11. UPP of foreign pension or 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showGridLines="0" tabSelected="1" zoomScale="60" zoomScaleNormal="60" workbookViewId="0">
      <pane xSplit="9" ySplit="26" topLeftCell="J30" activePane="bottomRight" state="frozen"/>
      <selection pane="topRight" activeCell="J1" sqref="J1"/>
      <selection pane="bottomLeft" activeCell="A27" sqref="A27"/>
      <selection pane="bottomRight" activeCell="K11" sqref="K11"/>
    </sheetView>
  </sheetViews>
  <sheetFormatPr baseColWidth="10" defaultColWidth="14.453125" defaultRowHeight="14.5"/>
  <cols>
    <col width="16.26953125" bestFit="1" customWidth="1" style="119" min="1" max="1"/>
    <col width="32.6328125" bestFit="1" customWidth="1" style="119" min="2" max="2"/>
    <col width="17.1796875" bestFit="1" customWidth="1" style="119" min="3" max="3"/>
    <col width="16.453125" bestFit="1" customWidth="1" style="119" min="4" max="4"/>
    <col width="25.1796875" bestFit="1" customWidth="1" style="119" min="5" max="5"/>
    <col width="10.453125" bestFit="1" customWidth="1" style="119" min="6" max="6"/>
    <col width="20.36328125" bestFit="1" customWidth="1" style="119" min="7" max="7"/>
    <col width="20.6328125" bestFit="1" customWidth="1" style="119" min="8" max="8"/>
    <col width="14.90625" bestFit="1" customWidth="1" style="119" min="9" max="9"/>
    <col width="12.453125" customWidth="1" style="119" min="10" max="10"/>
    <col width="8.6328125" customWidth="1" style="119" min="11" max="26"/>
    <col width="14.453125" customWidth="1" style="119" min="27" max="16384"/>
  </cols>
  <sheetData>
    <row r="1" ht="21" customHeight="1" s="89">
      <c r="A1" s="178" t="inlineStr">
        <is>
          <t>D5. Depreciable expenses</t>
        </is>
      </c>
      <c r="B1" s="161" t="n"/>
      <c r="C1" s="161" t="n"/>
      <c r="D1" s="161" t="n"/>
      <c r="E1" s="161" t="n"/>
      <c r="F1" s="161" t="n"/>
      <c r="G1" s="161" t="n"/>
      <c r="H1" s="141" t="n"/>
      <c r="I1" s="141" t="n"/>
    </row>
    <row r="2" ht="18.5" customHeight="1" s="89">
      <c r="A2" s="142" t="inlineStr">
        <is>
          <t>Depreciation Schedule</t>
        </is>
      </c>
      <c r="B2" s="190" t="n"/>
      <c r="C2" s="190" t="n"/>
      <c r="D2" s="144" t="n"/>
      <c r="E2" s="144" t="n"/>
      <c r="F2" s="144" t="n"/>
      <c r="G2" s="144" t="n"/>
      <c r="H2" s="144" t="n"/>
    </row>
    <row r="4" ht="18.5" customHeight="1" s="89">
      <c r="A4" s="191" t="inlineStr">
        <is>
          <t>New Assets</t>
        </is>
      </c>
    </row>
    <row r="5" ht="15.5" customHeight="1" s="89">
      <c r="A5" s="22" t="inlineStr">
        <is>
          <t>Date Purchased</t>
        </is>
      </c>
      <c r="B5" s="22" t="inlineStr">
        <is>
          <t>Description</t>
        </is>
      </c>
      <c r="C5" s="23" t="inlineStr">
        <is>
          <t>Purchase Amount</t>
        </is>
      </c>
      <c r="D5" s="23" t="inlineStr">
        <is>
          <t>Opening Amount</t>
        </is>
      </c>
      <c r="E5" s="23" t="inlineStr">
        <is>
          <t>Accumulated Depreciation</t>
        </is>
      </c>
      <c r="F5" s="23" t="inlineStr">
        <is>
          <t>Useful Life</t>
        </is>
      </c>
      <c r="G5" s="23" t="inlineStr">
        <is>
          <t>Depreciation Method</t>
        </is>
      </c>
      <c r="H5" s="23" t="inlineStr">
        <is>
          <t>Depreciation Expense</t>
        </is>
      </c>
      <c r="I5" s="23" t="inlineStr">
        <is>
          <t>Closing Balance</t>
        </is>
      </c>
      <c r="J5" s="154" t="inlineStr">
        <is>
          <t>Invoice</t>
        </is>
      </c>
    </row>
    <row r="6" ht="34.5" customHeight="1" s="89">
      <c r="A6" s="146" t="n"/>
      <c r="B6" s="147" t="n"/>
      <c r="C6" s="72" t="n"/>
      <c r="D6" s="72" t="n"/>
      <c r="E6" s="72">
        <f>C6-D6</f>
        <v/>
      </c>
      <c r="F6" s="148" t="n"/>
      <c r="G6" s="39" t="n"/>
      <c r="H6" s="72">
        <f>IFERROR(IF(G6=$A$51,D6*IF(('Client Details'!$D$3-'D5. Depreciable expenses'!A6)&lt;365,('Client Details'!$D$3-'D5. Depreciable expenses'!A6+1)/365,1)*(2/'D5. Depreciable expenses'!F6),('D5. Depreciable expenses'!C6/'D5. Depreciable expenses'!F6)*IF(('Client Details'!$D$3-'D5. Depreciable expenses'!A6)&lt;365,('Client Details'!$D$3-'D5. Depreciable expenses'!A6+1)/365,1)),0)</f>
        <v/>
      </c>
      <c r="I6" s="72">
        <f>D6-H6</f>
        <v/>
      </c>
    </row>
    <row r="7">
      <c r="A7" s="34" t="n"/>
      <c r="C7" s="73" t="n"/>
      <c r="D7" s="73" t="n"/>
      <c r="E7" s="72">
        <f>C7-D7</f>
        <v/>
      </c>
      <c r="G7" s="39" t="n"/>
      <c r="H7" s="72">
        <f>IFERROR(IF(G7=$A$51,D7*IF(('Client Details'!$D$3-'D5. Depreciable expenses'!A7)&lt;365,('Client Details'!$D$3-'D5. Depreciable expenses'!A7+1)/365,1)*(2/'D5. Depreciable expenses'!F7),('D5. Depreciable expenses'!C7/'D5. Depreciable expenses'!F7)*IF(('Client Details'!$D$3-'D5. Depreciable expenses'!A7)&lt;365,('Client Details'!$D$3-'D5. Depreciable expenses'!A7+1)/365,1)),0)</f>
        <v/>
      </c>
      <c r="I7" s="73">
        <f>D7-H7</f>
        <v/>
      </c>
      <c r="K7" s="149" t="n"/>
    </row>
    <row r="8">
      <c r="A8" s="34" t="n"/>
      <c r="C8" s="73" t="n"/>
      <c r="D8" s="73" t="n"/>
      <c r="E8" s="72">
        <f>C8-D8</f>
        <v/>
      </c>
      <c r="G8" s="39" t="n"/>
      <c r="H8" s="72">
        <f>IFERROR(IF(G8=$A$51,D8*IF(('Client Details'!$D$3-'D5. Depreciable expenses'!A8)&lt;365,('Client Details'!$D$3-'D5. Depreciable expenses'!A8+1)/365,1)*(2/'D5. Depreciable expenses'!F8),('D5. Depreciable expenses'!C8/'D5. Depreciable expenses'!F8)*IF(('Client Details'!$D$3-'D5. Depreciable expenses'!A8)&lt;365,('Client Details'!$D$3-'D5. Depreciable expenses'!A8+1)/365,1)),0)</f>
        <v/>
      </c>
      <c r="I8" s="73">
        <f>D8-H8</f>
        <v/>
      </c>
    </row>
    <row r="9">
      <c r="A9" s="34" t="n"/>
      <c r="C9" s="73" t="n"/>
      <c r="D9" s="73" t="n"/>
      <c r="E9" s="72">
        <f>C9-D9</f>
        <v/>
      </c>
      <c r="G9" s="39" t="n"/>
      <c r="H9" s="72">
        <f>IFERROR(IF(G9=$A$51,D9*IF(('Client Details'!$D$3-'D5. Depreciable expenses'!A9)&lt;365,('Client Details'!$D$3-'D5. Depreciable expenses'!A9+1)/365,1)*(2/'D5. Depreciable expenses'!F9),('D5. Depreciable expenses'!C9/'D5. Depreciable expenses'!F9)*IF(('Client Details'!$D$3-'D5. Depreciable expenses'!A9)&lt;365,('Client Details'!$D$3-'D5. Depreciable expenses'!A9+1)/365,1)),0)</f>
        <v/>
      </c>
      <c r="I9" s="73">
        <f>D9-H9</f>
        <v/>
      </c>
    </row>
    <row r="10">
      <c r="A10" s="34" t="n"/>
      <c r="C10" s="73" t="n"/>
      <c r="D10" s="73" t="n"/>
      <c r="E10" s="72">
        <f>C10-D10</f>
        <v/>
      </c>
      <c r="G10" s="39" t="n"/>
      <c r="H10" s="72">
        <f>IFERROR(IF(G10=$A$51,D10*IF(('Client Details'!$D$3-'D5. Depreciable expenses'!A10)&lt;365,('Client Details'!$D$3-'D5. Depreciable expenses'!A10+1)/365,1)*(2/'D5. Depreciable expenses'!F10),('D5. Depreciable expenses'!C10/'D5. Depreciable expenses'!F10)*IF(('Client Details'!$D$3-'D5. Depreciable expenses'!A10)&lt;365,('Client Details'!$D$3-'D5. Depreciable expenses'!A10+1)/365,1)),0)</f>
        <v/>
      </c>
      <c r="I10" s="73">
        <f>D10-H10</f>
        <v/>
      </c>
    </row>
    <row r="11">
      <c r="A11" s="34" t="n"/>
      <c r="C11" s="73" t="n"/>
      <c r="D11" s="73" t="n"/>
      <c r="E11" s="72">
        <f>C11-D11</f>
        <v/>
      </c>
      <c r="G11" s="39" t="n"/>
      <c r="H11" s="72">
        <f>IFERROR(IF(G11=$A$51,D11*IF(('Client Details'!$D$3-'D5. Depreciable expenses'!A11)&lt;365,('Client Details'!$D$3-'D5. Depreciable expenses'!A11+1)/365,1)*(2/'D5. Depreciable expenses'!F11),('D5. Depreciable expenses'!C11/'D5. Depreciable expenses'!F11)*IF(('Client Details'!$D$3-'D5. Depreciable expenses'!A11)&lt;365,('Client Details'!$D$3-'D5. Depreciable expenses'!A11+1)/365,1)),0)</f>
        <v/>
      </c>
      <c r="I11" s="73">
        <f>D11-H11</f>
        <v/>
      </c>
      <c r="K11" s="155" t="n"/>
    </row>
    <row r="12">
      <c r="A12" s="34" t="n"/>
      <c r="C12" s="73" t="n"/>
      <c r="D12" s="73" t="n"/>
      <c r="E12" s="72">
        <f>C12-D12</f>
        <v/>
      </c>
      <c r="G12" s="39" t="n"/>
      <c r="H12" s="72">
        <f>IFERROR(IF(G12=$A$51,D12*IF(('Client Details'!$D$3-'D5. Depreciable expenses'!A12)&lt;365,('Client Details'!$D$3-'D5. Depreciable expenses'!A12+1)/365,1)*(2/'D5. Depreciable expenses'!F12),('D5. Depreciable expenses'!C12/'D5. Depreciable expenses'!F12)*IF(('Client Details'!$D$3-'D5. Depreciable expenses'!A12)&lt;365,('Client Details'!$D$3-'D5. Depreciable expenses'!A12+1)/365,1)),0)</f>
        <v/>
      </c>
      <c r="I12" s="73">
        <f>D12-H12</f>
        <v/>
      </c>
    </row>
    <row r="13">
      <c r="A13" s="34" t="n"/>
      <c r="C13" s="73" t="n"/>
      <c r="D13" s="73" t="n"/>
      <c r="E13" s="72">
        <f>C13-D13</f>
        <v/>
      </c>
      <c r="G13" s="39" t="n"/>
      <c r="H13" s="72">
        <f>IFERROR(IF(G13=$A$51,D13*IF(('Client Details'!$D$3-'D5. Depreciable expenses'!A13)&lt;365,('Client Details'!$D$3-'D5. Depreciable expenses'!A13+1)/365,1)*(2/'D5. Depreciable expenses'!F13),('D5. Depreciable expenses'!C13/'D5. Depreciable expenses'!F13)*IF(('Client Details'!$D$3-'D5. Depreciable expenses'!A13)&lt;365,('Client Details'!$D$3-'D5. Depreciable expenses'!A13+1)/365,1)),0)</f>
        <v/>
      </c>
      <c r="I13" s="73">
        <f>D13-H13</f>
        <v/>
      </c>
    </row>
    <row r="14">
      <c r="A14" s="34" t="n"/>
      <c r="C14" s="73" t="n"/>
      <c r="D14" s="73" t="n"/>
      <c r="E14" s="72">
        <f>C14-D14</f>
        <v/>
      </c>
      <c r="G14" s="39" t="n"/>
      <c r="H14" s="72">
        <f>IFERROR(IF(G14=$A$51,D14*IF(('Client Details'!$D$3-'D5. Depreciable expenses'!A14)&lt;365,('Client Details'!$D$3-'D5. Depreciable expenses'!A14+1)/365,1)*(2/'D5. Depreciable expenses'!F14),('D5. Depreciable expenses'!C14/'D5. Depreciable expenses'!F14)*IF(('Client Details'!$D$3-'D5. Depreciable expenses'!A14)&lt;365,('Client Details'!$D$3-'D5. Depreciable expenses'!A14+1)/365,1)),0)</f>
        <v/>
      </c>
      <c r="I14" s="73">
        <f>D14-H14</f>
        <v/>
      </c>
    </row>
    <row r="15">
      <c r="A15" s="34" t="n"/>
      <c r="C15" s="73" t="n"/>
      <c r="D15" s="73" t="n"/>
      <c r="E15" s="72">
        <f>C15-D15</f>
        <v/>
      </c>
      <c r="G15" s="39" t="n"/>
      <c r="H15" s="72">
        <f>IFERROR(IF(G15=$A$51,D15*IF(('Client Details'!$D$3-'D5. Depreciable expenses'!A15)&lt;365,('Client Details'!$D$3-'D5. Depreciable expenses'!A15+1)/365,1)*(2/'D5. Depreciable expenses'!F15),('D5. Depreciable expenses'!C15/'D5. Depreciable expenses'!F15)*IF(('Client Details'!$D$3-'D5. Depreciable expenses'!A15)&lt;365,('Client Details'!$D$3-'D5. Depreciable expenses'!A15+1)/365,1)),0)</f>
        <v/>
      </c>
      <c r="I15" s="73">
        <f>D15-H15</f>
        <v/>
      </c>
    </row>
    <row r="16">
      <c r="A16" s="34" t="n"/>
      <c r="C16" s="73" t="n"/>
      <c r="D16" s="73" t="n"/>
      <c r="E16" s="72">
        <f>C16-D16</f>
        <v/>
      </c>
      <c r="G16" s="39" t="n"/>
      <c r="H16" s="72">
        <f>IFERROR(IF(G16=$A$51,D16*IF(('Client Details'!$D$3-'D5. Depreciable expenses'!A16)&lt;365,('Client Details'!$D$3-'D5. Depreciable expenses'!A16+1)/365,1)*(2/'D5. Depreciable expenses'!F16),('D5. Depreciable expenses'!C16/'D5. Depreciable expenses'!F16)*IF(('Client Details'!$D$3-'D5. Depreciable expenses'!A16)&lt;365,('Client Details'!$D$3-'D5. Depreciable expenses'!A16+1)/365,1)),0)</f>
        <v/>
      </c>
      <c r="I16" s="73">
        <f>D16-H16</f>
        <v/>
      </c>
    </row>
    <row r="17">
      <c r="A17" s="34" t="n"/>
      <c r="C17" s="73" t="n"/>
      <c r="D17" s="73" t="n"/>
      <c r="E17" s="72">
        <f>C17-D17</f>
        <v/>
      </c>
      <c r="G17" s="39" t="n"/>
      <c r="H17" s="72">
        <f>IFERROR(IF(G17=$A$51,D17*IF(('Client Details'!$D$3-'D5. Depreciable expenses'!A17)&lt;365,('Client Details'!$D$3-'D5. Depreciable expenses'!A17+1)/365,1)*(2/'D5. Depreciable expenses'!F17),('D5. Depreciable expenses'!C17/'D5. Depreciable expenses'!F17)*IF(('Client Details'!$D$3-'D5. Depreciable expenses'!A17)&lt;365,('Client Details'!$D$3-'D5. Depreciable expenses'!A17+1)/365,1)),0)</f>
        <v/>
      </c>
      <c r="I17" s="73">
        <f>D17-H17</f>
        <v/>
      </c>
    </row>
    <row r="18">
      <c r="A18" s="34" t="n"/>
      <c r="C18" s="73" t="n"/>
      <c r="D18" s="73" t="n"/>
      <c r="E18" s="72">
        <f>C18-D18</f>
        <v/>
      </c>
      <c r="G18" s="39" t="n"/>
      <c r="H18" s="72">
        <f>IFERROR(IF(G18=$A$51,D18*IF(('Client Details'!$D$3-'D5. Depreciable expenses'!A18)&lt;365,('Client Details'!$D$3-'D5. Depreciable expenses'!A18+1)/365,1)*(2/'D5. Depreciable expenses'!F18),('D5. Depreciable expenses'!C18/'D5. Depreciable expenses'!F18)*IF(('Client Details'!$D$3-'D5. Depreciable expenses'!A18)&lt;365,('Client Details'!$D$3-'D5. Depreciable expenses'!A18+1)/365,1)),0)</f>
        <v/>
      </c>
      <c r="I18" s="73">
        <f>D18-H18</f>
        <v/>
      </c>
    </row>
    <row r="19">
      <c r="A19" s="34" t="n"/>
      <c r="C19" s="73" t="n"/>
      <c r="D19" s="73" t="n"/>
      <c r="E19" s="72">
        <f>C19-D19</f>
        <v/>
      </c>
      <c r="G19" s="39" t="n"/>
      <c r="H19" s="72">
        <f>IFERROR(IF(G19=$A$51,D19*IF(('Client Details'!$D$3-'D5. Depreciable expenses'!A19)&lt;365,('Client Details'!$D$3-'D5. Depreciable expenses'!A19+1)/365,1)*(2/'D5. Depreciable expenses'!F19),('D5. Depreciable expenses'!C19/'D5. Depreciable expenses'!F19)*IF(('Client Details'!$D$3-'D5. Depreciable expenses'!A19)&lt;365,('Client Details'!$D$3-'D5. Depreciable expenses'!A19+1)/365,1)),0)</f>
        <v/>
      </c>
      <c r="I19" s="73">
        <f>D19-H19</f>
        <v/>
      </c>
    </row>
    <row r="20">
      <c r="A20" s="34" t="n"/>
      <c r="C20" s="73" t="n"/>
      <c r="D20" s="73" t="n"/>
      <c r="E20" s="72">
        <f>C20-D20</f>
        <v/>
      </c>
      <c r="G20" s="39" t="n"/>
      <c r="H20" s="72">
        <f>IFERROR(IF(G20=$A$51,D20*IF(('Client Details'!$D$3-'D5. Depreciable expenses'!A20)&lt;365,('Client Details'!$D$3-'D5. Depreciable expenses'!A20+1)/365,1)*(2/'D5. Depreciable expenses'!F20),('D5. Depreciable expenses'!C20/'D5. Depreciable expenses'!F20)*IF(('Client Details'!$D$3-'D5. Depreciable expenses'!A20)&lt;365,('Client Details'!$D$3-'D5. Depreciable expenses'!A20+1)/365,1)),0)</f>
        <v/>
      </c>
      <c r="I20" s="73">
        <f>D20-H20</f>
        <v/>
      </c>
    </row>
    <row r="21">
      <c r="A21" s="34" t="n"/>
      <c r="C21" s="73" t="n"/>
      <c r="D21" s="73" t="n"/>
      <c r="E21" s="72">
        <f>C21-D21</f>
        <v/>
      </c>
      <c r="G21" s="39" t="n"/>
      <c r="H21" s="72">
        <f>IFERROR(IF(G21=$A$51,D21*IF(('Client Details'!$D$3-'D5. Depreciable expenses'!A21)&lt;365,('Client Details'!$D$3-'D5. Depreciable expenses'!A21+1)/365,1)*(2/'D5. Depreciable expenses'!F21),('D5. Depreciable expenses'!C21/'D5. Depreciable expenses'!F21)*IF(('Client Details'!$D$3-'D5. Depreciable expenses'!A21)&lt;365,('Client Details'!$D$3-'D5. Depreciable expenses'!A21+1)/365,1)),0)</f>
        <v/>
      </c>
      <c r="I21" s="73">
        <f>D21-H21</f>
        <v/>
      </c>
    </row>
    <row r="22">
      <c r="A22" s="34" t="n"/>
      <c r="C22" s="73" t="n"/>
      <c r="D22" s="73" t="n"/>
      <c r="E22" s="72">
        <f>C22-D22</f>
        <v/>
      </c>
      <c r="G22" s="39" t="n"/>
      <c r="H22" s="72">
        <f>IFERROR(IF(G22=$A$51,D22*IF(('Client Details'!$D$3-'D5. Depreciable expenses'!A22)&lt;365,('Client Details'!$D$3-'D5. Depreciable expenses'!A22+1)/365,1)*(2/'D5. Depreciable expenses'!F22),('D5. Depreciable expenses'!C22/'D5. Depreciable expenses'!F22)*IF(('Client Details'!$D$3-'D5. Depreciable expenses'!A22)&lt;365,('Client Details'!$D$3-'D5. Depreciable expenses'!A22+1)/365,1)),0)</f>
        <v/>
      </c>
      <c r="I22" s="73">
        <f>D22-H22</f>
        <v/>
      </c>
    </row>
    <row r="23">
      <c r="A23" s="150" t="inlineStr">
        <is>
          <t>Total</t>
        </is>
      </c>
      <c r="B23" s="150" t="n"/>
      <c r="C23" s="151">
        <f>SUM(C6:C22)</f>
        <v/>
      </c>
      <c r="D23" s="151">
        <f>SUM(D6:D22)</f>
        <v/>
      </c>
      <c r="E23" s="151">
        <f>SUM(E6:E22)</f>
        <v/>
      </c>
      <c r="F23" s="150" t="n"/>
      <c r="G23" s="150" t="n"/>
      <c r="H23" s="151">
        <f>SUM(H6:H22)</f>
        <v/>
      </c>
      <c r="I23" s="151">
        <f>SUM(I6:I22)</f>
        <v/>
      </c>
      <c r="J23" s="150" t="n"/>
      <c r="K23" s="150" t="n"/>
      <c r="L23" s="150" t="n"/>
      <c r="M23" s="150" t="n"/>
      <c r="N23" s="150" t="n"/>
      <c r="O23" s="150" t="n"/>
      <c r="P23" s="150" t="n"/>
      <c r="Q23" s="150" t="n"/>
      <c r="R23" s="150" t="n"/>
      <c r="S23" s="150" t="n"/>
      <c r="T23" s="150" t="n"/>
      <c r="U23" s="150" t="n"/>
      <c r="V23" s="150" t="n"/>
      <c r="W23" s="150" t="n"/>
      <c r="X23" s="150" t="n"/>
      <c r="Y23" s="150" t="n"/>
      <c r="Z23" s="150" t="n"/>
    </row>
    <row r="24">
      <c r="G24" s="152" t="n"/>
    </row>
    <row r="25">
      <c r="F25" s="152" t="n"/>
      <c r="G25" s="149" t="n"/>
    </row>
    <row r="26" ht="18.5" customHeight="1" s="89">
      <c r="A26" s="54" t="inlineStr">
        <is>
          <t>Navigation</t>
        </is>
      </c>
      <c r="B26" s="55" t="n"/>
      <c r="C26" s="55" t="n"/>
      <c r="D26" s="55" t="n"/>
      <c r="E26" s="55" t="n"/>
      <c r="F26" s="55" t="n"/>
      <c r="G26" s="55" t="n"/>
      <c r="H26" s="55" t="n"/>
      <c r="I26" s="55" t="n"/>
    </row>
    <row r="27">
      <c r="A27" s="38" t="inlineStr">
        <is>
          <t>Next</t>
        </is>
      </c>
      <c r="H27" s="153" t="n"/>
    </row>
    <row r="28">
      <c r="A28" s="38" t="inlineStr">
        <is>
          <t>Home</t>
        </is>
      </c>
      <c r="H28" s="153" t="n"/>
    </row>
    <row r="29">
      <c r="A29" s="59" t="n"/>
      <c r="F29" s="153" t="n"/>
    </row>
    <row r="30">
      <c r="A30" s="59" t="n"/>
    </row>
    <row r="31">
      <c r="A31" s="59" t="n"/>
    </row>
    <row r="32">
      <c r="A32" s="59" t="n"/>
    </row>
    <row r="33">
      <c r="A33" s="59" t="n"/>
    </row>
    <row r="34">
      <c r="A34" s="59" t="n"/>
    </row>
    <row r="35">
      <c r="A35" s="59" t="n"/>
    </row>
    <row r="36">
      <c r="A36" s="59" t="n"/>
    </row>
    <row r="37">
      <c r="A37" s="59" t="n"/>
    </row>
    <row r="38">
      <c r="A38" s="59" t="n"/>
    </row>
    <row r="39">
      <c r="A39" s="59" t="n"/>
    </row>
    <row r="40">
      <c r="A40" s="59" t="n"/>
    </row>
    <row r="41">
      <c r="A41" s="59" t="n"/>
    </row>
    <row r="42">
      <c r="A42" s="59" t="n"/>
    </row>
    <row r="43">
      <c r="A43" s="59" t="n"/>
    </row>
    <row r="44">
      <c r="A44" s="59" t="n"/>
    </row>
    <row r="45">
      <c r="A45" s="59" t="n"/>
    </row>
    <row r="46">
      <c r="A46" s="59" t="n"/>
    </row>
    <row r="47">
      <c r="A47" s="59" t="n"/>
    </row>
    <row r="48">
      <c r="A48" s="150" t="inlineStr">
        <is>
          <t>Don't Delete</t>
        </is>
      </c>
    </row>
    <row r="49">
      <c r="A49" s="150" t="n"/>
    </row>
    <row r="50">
      <c r="A50" s="59" t="inlineStr">
        <is>
          <t>Straight Line</t>
        </is>
      </c>
    </row>
    <row r="51">
      <c r="A51" s="59" t="inlineStr">
        <is>
          <t>Diminishing Value</t>
        </is>
      </c>
    </row>
  </sheetData>
  <mergeCells count="3">
    <mergeCell ref="A1:G1"/>
    <mergeCell ref="A4:C4"/>
    <mergeCell ref="A2:C2"/>
  </mergeCells>
  <dataValidations count="1">
    <dataValidation sqref="G6:G22" showDropDown="0" showInputMessage="0" showErrorMessage="1" allowBlank="1" type="list">
      <formula1>$A$49:$A$51</formula1>
    </dataValidation>
  </dataValidations>
  <hyperlinks>
    <hyperlink ref="A27" location="'D12. Personal superannuation co'!A1" display="Next"/>
    <hyperlink ref="A28" location="Expenses!A1" display="Home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0" zoomScale="60" zoomScaleNormal="60" workbookViewId="0">
      <pane xSplit="8" ySplit="26" topLeftCell="I27" activePane="bottomRight" state="frozen"/>
      <selection pane="topRight" activeCell="I1" sqref="I1"/>
      <selection pane="bottomLeft" activeCell="A27" sqref="A27"/>
      <selection pane="bottomRight" activeCell="F13" sqref="F13"/>
    </sheetView>
  </sheetViews>
  <sheetFormatPr baseColWidth="10" defaultColWidth="20.7265625" defaultRowHeight="14.5"/>
  <cols>
    <col width="15.6328125" bestFit="1" customWidth="1" style="89" min="1" max="1"/>
    <col width="11.6328125" bestFit="1" customWidth="1" style="89" min="2" max="2"/>
    <col width="17.453125" bestFit="1" customWidth="1" style="89" min="3" max="3"/>
    <col width="17" bestFit="1" customWidth="1" style="89" min="4" max="4"/>
    <col width="25.81640625" bestFit="1" customWidth="1" style="89" min="5" max="5"/>
    <col width="21.08984375" bestFit="1" customWidth="1" style="89" min="6" max="6"/>
    <col width="21.36328125" bestFit="1" customWidth="1" style="89" min="7" max="7"/>
    <col width="15.453125" bestFit="1" customWidth="1" style="89" min="8" max="8"/>
  </cols>
  <sheetData>
    <row r="1" ht="21" customHeight="1" s="89">
      <c r="A1" s="192" t="inlineStr">
        <is>
          <t>D6. Low Value Pool</t>
        </is>
      </c>
      <c r="B1" s="161" t="n"/>
      <c r="C1" s="161" t="n"/>
      <c r="D1" s="161" t="n"/>
      <c r="E1" s="161" t="n"/>
      <c r="F1" s="161" t="n"/>
      <c r="G1" s="20" t="n"/>
      <c r="H1" s="20" t="n"/>
    </row>
    <row r="2" ht="18.5" customHeight="1" s="89">
      <c r="A2" s="137" t="n"/>
      <c r="B2" s="190" t="n"/>
      <c r="C2" s="190" t="n"/>
      <c r="D2" s="21" t="n"/>
      <c r="E2" s="21" t="n"/>
      <c r="F2" s="21" t="n"/>
      <c r="G2" s="21" t="n"/>
    </row>
    <row r="4" ht="18.5" customHeight="1" s="89">
      <c r="A4" s="193" t="inlineStr">
        <is>
          <t>New Assets</t>
        </is>
      </c>
    </row>
    <row r="5" ht="15.5" customHeight="1" s="89">
      <c r="A5" s="22" t="inlineStr">
        <is>
          <t>Date Purchased</t>
        </is>
      </c>
      <c r="B5" s="22" t="inlineStr">
        <is>
          <t>Description</t>
        </is>
      </c>
      <c r="C5" s="23" t="inlineStr">
        <is>
          <t>Purchase Amount</t>
        </is>
      </c>
      <c r="D5" s="23" t="inlineStr">
        <is>
          <t>Opening Amount</t>
        </is>
      </c>
      <c r="E5" s="23" t="inlineStr">
        <is>
          <t>Accumulated Depreciation</t>
        </is>
      </c>
      <c r="F5" s="23" t="inlineStr">
        <is>
          <t>Depreciation Method</t>
        </is>
      </c>
      <c r="G5" s="23" t="inlineStr">
        <is>
          <t>Depreciation Expense</t>
        </is>
      </c>
      <c r="H5" s="23" t="inlineStr">
        <is>
          <t>Closing Balance</t>
        </is>
      </c>
    </row>
    <row r="6">
      <c r="A6" s="24" t="n"/>
      <c r="C6" s="17" t="n"/>
      <c r="D6" s="17" t="n"/>
      <c r="E6" s="17">
        <f>C6-D6</f>
        <v/>
      </c>
      <c r="F6" s="1" t="n"/>
      <c r="G6" s="17">
        <f>IF(AND(F6="Low Value Asset", ('Client Details'!$D$3 - A6) &lt; 365), "Use Low Cost", IF(OR(F6="Low Value Asset", F6&lt;&gt;"Low Cost Asset"), D6*0.375, D6*IF(('Client Details'!$D$3 - A6)&lt;365, 0.1875, 0.375)))</f>
        <v/>
      </c>
      <c r="H6" s="17">
        <f>D6-G6</f>
        <v/>
      </c>
    </row>
    <row r="7">
      <c r="A7" s="4" t="n"/>
      <c r="C7" s="18" t="n"/>
      <c r="D7" s="18" t="n"/>
      <c r="E7" s="17">
        <f>C7-D7</f>
        <v/>
      </c>
      <c r="F7" s="1" t="n"/>
      <c r="G7" s="17">
        <f>IF(AND(F7="Low Value Asset", ('Client Details'!$D$3 - A7) &lt; 365), "Use Low Cost", IF(OR(F7="Low Value Asset", F7&lt;&gt;"Low Cost Asset"), D7*0.375, D7*IF(('Client Details'!$D$3 - A7)&lt;365, 0.1875, 0.375)))</f>
        <v/>
      </c>
      <c r="H7" s="18">
        <f>D7-G7</f>
        <v/>
      </c>
      <c r="J7" s="25" t="n"/>
    </row>
    <row r="8">
      <c r="A8" s="4" t="n"/>
      <c r="C8" s="18" t="n"/>
      <c r="D8" s="18" t="n"/>
      <c r="E8" s="17">
        <f>C8-D8</f>
        <v/>
      </c>
      <c r="F8" s="1" t="n"/>
      <c r="G8" s="17">
        <f>IF(AND(F8="Low Value Asset", ('Client Details'!$D$3 - A8) &lt; 365), "Use Low Cost", IF(OR(F8="Low Value Asset", F8&lt;&gt;"Low Cost Asset"), D8*0.375, D8*IF(('Client Details'!$D$3 - A8)&lt;365, 0.1875, 0.375)))</f>
        <v/>
      </c>
      <c r="H8" s="18">
        <f>D8-G8</f>
        <v/>
      </c>
    </row>
    <row r="9">
      <c r="A9" s="4" t="n"/>
      <c r="C9" s="18" t="n"/>
      <c r="D9" s="18" t="n"/>
      <c r="E9" s="17">
        <f>C9-D9</f>
        <v/>
      </c>
      <c r="F9" s="1" t="n"/>
      <c r="G9" s="17">
        <f>IF(AND(F9="Low Value Asset", ('Client Details'!$D$3 - A9) &lt; 365), "Use Low Cost", IF(OR(F9="Low Value Asset", F9&lt;&gt;"Low Cost Asset"), D9*0.375, D9*IF(('Client Details'!$D$3 - A9)&lt;365, 0.1875, 0.375)))</f>
        <v/>
      </c>
      <c r="H9" s="18">
        <f>D9-G9</f>
        <v/>
      </c>
    </row>
    <row r="10">
      <c r="A10" s="4" t="n"/>
      <c r="C10" s="18" t="n"/>
      <c r="D10" s="18" t="n"/>
      <c r="E10" s="17">
        <f>C10-D10</f>
        <v/>
      </c>
      <c r="F10" s="1" t="n"/>
      <c r="G10" s="17">
        <f>IF(AND(F10="Low Value Asset", ('Client Details'!$D$3 - A10) &lt; 365), "Use Low Cost", IF(OR(F10="Low Value Asset", F10&lt;&gt;"Low Cost Asset"), D10*0.375, D10*IF(('Client Details'!$D$3 - A10)&lt;365, 0.1875, 0.375)))</f>
        <v/>
      </c>
      <c r="H10" s="18">
        <f>D10-G10</f>
        <v/>
      </c>
    </row>
    <row r="11">
      <c r="A11" s="4" t="n"/>
      <c r="C11" s="18" t="n"/>
      <c r="D11" s="18" t="n"/>
      <c r="E11" s="17">
        <f>C11-D11</f>
        <v/>
      </c>
      <c r="F11" s="1" t="n"/>
      <c r="G11" s="17">
        <f>IF(AND(F11="Low Value Asset", ('Client Details'!$D$3 - A11) &lt; 365), "Use Low Cost", IF(OR(F11="Low Value Asset", F11&lt;&gt;"Low Cost Asset"), D11*0.375, D11*IF(('Client Details'!$D$3 - A11)&lt;365, 0.1875, 0.375)))</f>
        <v/>
      </c>
      <c r="H11" s="18">
        <f>D11-G11</f>
        <v/>
      </c>
    </row>
    <row r="12">
      <c r="A12" s="4" t="n"/>
      <c r="C12" s="18" t="n"/>
      <c r="D12" s="18" t="n"/>
      <c r="E12" s="17">
        <f>C12-D12</f>
        <v/>
      </c>
      <c r="F12" s="1" t="n"/>
      <c r="G12" s="17">
        <f>IF(AND(F12="Low Value Asset", ('Client Details'!$D$3 - A12) &lt; 365), "Use Low Cost", IF(OR(F12="Low Value Asset", F12&lt;&gt;"Low Cost Asset"), D12*0.375, D12*IF(('Client Details'!$D$3 - A12)&lt;365, 0.1875, 0.375)))</f>
        <v/>
      </c>
      <c r="H12" s="18">
        <f>D12-G12</f>
        <v/>
      </c>
    </row>
    <row r="13">
      <c r="A13" s="4" t="n"/>
      <c r="C13" s="18" t="n"/>
      <c r="D13" s="18" t="n"/>
      <c r="E13" s="17">
        <f>C13-D13</f>
        <v/>
      </c>
      <c r="F13" s="1" t="n"/>
      <c r="G13" s="17">
        <f>IF(AND(F13="Low Value Asset", ('Client Details'!$D$3 - A13) &lt; 365), "Use Low Cost", IF(OR(F13="Low Value Asset", F13&lt;&gt;"Low Cost Asset"), D13*0.375, D13*IF(('Client Details'!$D$3 - A13)&lt;365, 0.1875, 0.375)))</f>
        <v/>
      </c>
      <c r="H13" s="18">
        <f>D13-G13</f>
        <v/>
      </c>
    </row>
    <row r="14">
      <c r="A14" s="4" t="n"/>
      <c r="C14" s="18" t="n"/>
      <c r="D14" s="18" t="n"/>
      <c r="E14" s="17">
        <f>C14-D14</f>
        <v/>
      </c>
      <c r="F14" s="1" t="n"/>
      <c r="G14" s="17">
        <f>IF(AND(F14="Low Value Asset", ('Client Details'!$D$3 - A14) &lt; 365), "Use Low Cost", IF(OR(F14="Low Value Asset", F14&lt;&gt;"Low Cost Asset"), D14*0.375, D14*IF(('Client Details'!$D$3 - A14)&lt;365, 0.1875, 0.375)))</f>
        <v/>
      </c>
      <c r="H14" s="18">
        <f>D14-G14</f>
        <v/>
      </c>
    </row>
    <row r="15">
      <c r="A15" s="4" t="n"/>
      <c r="C15" s="18" t="n"/>
      <c r="D15" s="18" t="n"/>
      <c r="E15" s="17">
        <f>C15-D15</f>
        <v/>
      </c>
      <c r="F15" s="1" t="n"/>
      <c r="G15" s="17">
        <f>IF(AND(F15="Low Value Asset", ('Client Details'!$D$3 - A15) &lt; 365), "Use Low Cost", IF(OR(F15="Low Value Asset", F15&lt;&gt;"Low Cost Asset"), D15*0.375, D15*IF(('Client Details'!$D$3 - A15)&lt;365, 0.1875, 0.375)))</f>
        <v/>
      </c>
      <c r="H15" s="18">
        <f>D15-G15</f>
        <v/>
      </c>
    </row>
    <row r="16">
      <c r="A16" s="4" t="n"/>
      <c r="C16" s="18" t="n"/>
      <c r="D16" s="18" t="n"/>
      <c r="E16" s="17">
        <f>C16-D16</f>
        <v/>
      </c>
      <c r="F16" s="1" t="n"/>
      <c r="G16" s="17">
        <f>IF(AND(F16="Low Value Asset", ('Client Details'!$D$3 - A16) &lt; 365), "Use Low Cost", IF(OR(F16="Low Value Asset", F16&lt;&gt;"Low Cost Asset"), D16*0.375, D16*IF(('Client Details'!$D$3 - A16)&lt;365, 0.1875, 0.375)))</f>
        <v/>
      </c>
      <c r="H16" s="18">
        <f>D16-G16</f>
        <v/>
      </c>
    </row>
    <row r="17">
      <c r="A17" s="4" t="n"/>
      <c r="C17" s="18" t="n"/>
      <c r="D17" s="18" t="n"/>
      <c r="E17" s="17">
        <f>C17-D17</f>
        <v/>
      </c>
      <c r="F17" s="1" t="n"/>
      <c r="G17" s="17">
        <f>IF(AND(F17="Low Value Asset", ('Client Details'!$D$3 - A17) &lt; 365), "Use Low Cost", IF(OR(F17="Low Value Asset", F17&lt;&gt;"Low Cost Asset"), D17*0.375, D17*IF(('Client Details'!$D$3 - A17)&lt;365, 0.1875, 0.375)))</f>
        <v/>
      </c>
      <c r="H17" s="18">
        <f>D17-G17</f>
        <v/>
      </c>
    </row>
    <row r="18">
      <c r="A18" s="4" t="n"/>
      <c r="C18" s="18" t="n"/>
      <c r="D18" s="18" t="n"/>
      <c r="E18" s="17">
        <f>C18-D18</f>
        <v/>
      </c>
      <c r="F18" s="1" t="n"/>
      <c r="G18" s="17">
        <f>IF(AND(F18="Low Value Asset", ('Client Details'!$D$3 - A18) &lt; 365), "Use Low Cost", IF(OR(F18="Low Value Asset", F18&lt;&gt;"Low Cost Asset"), D18*0.375, D18*IF(('Client Details'!$D$3 - A18)&lt;365, 0.1875, 0.375)))</f>
        <v/>
      </c>
      <c r="H18" s="18">
        <f>D18-G18</f>
        <v/>
      </c>
    </row>
    <row r="19">
      <c r="A19" s="4" t="n"/>
      <c r="C19" s="18" t="n"/>
      <c r="D19" s="18" t="n"/>
      <c r="E19" s="17">
        <f>C19-D19</f>
        <v/>
      </c>
      <c r="F19" s="1" t="n"/>
      <c r="G19" s="17">
        <f>IF(AND(F19="Low Value Asset", ('Client Details'!$D$3 - A19) &lt; 365), "Use Low Cost", IF(OR(F19="Low Value Asset", F19&lt;&gt;"Low Cost Asset"), D19*0.375, D19*IF(('Client Details'!$D$3 - A19)&lt;365, 0.1875, 0.375)))</f>
        <v/>
      </c>
      <c r="H19" s="18">
        <f>D19-G19</f>
        <v/>
      </c>
    </row>
    <row r="20">
      <c r="A20" s="4" t="n"/>
      <c r="C20" s="18" t="n"/>
      <c r="D20" s="18" t="n"/>
      <c r="E20" s="17">
        <f>C20-D20</f>
        <v/>
      </c>
      <c r="F20" s="1" t="n"/>
      <c r="G20" s="17">
        <f>IF(AND(F20="Low Value Asset", ('Client Details'!$D$3 - A20) &lt; 365), "Use Low Cost", IF(OR(F20="Low Value Asset", F20&lt;&gt;"Low Cost Asset"), D20*0.375, D20*IF(('Client Details'!$D$3 - A20)&lt;365, 0.1875, 0.375)))</f>
        <v/>
      </c>
      <c r="H20" s="18">
        <f>D20-G20</f>
        <v/>
      </c>
    </row>
    <row r="21">
      <c r="A21" s="4" t="n"/>
      <c r="C21" s="18" t="n"/>
      <c r="D21" s="18" t="n"/>
      <c r="E21" s="17">
        <f>C21-D21</f>
        <v/>
      </c>
      <c r="F21" s="1" t="n"/>
      <c r="G21" s="17">
        <f>IF(AND(F21="Low Value Asset", ('Client Details'!$D$3 - A21) &lt; 365), "Use Low Cost", IF(OR(F21="Low Value Asset", F21&lt;&gt;"Low Cost Asset"), D21*0.375, D21*IF(('Client Details'!$D$3 - A21)&lt;365, 0.1875, 0.375)))</f>
        <v/>
      </c>
      <c r="H21" s="18">
        <f>D21-G21</f>
        <v/>
      </c>
    </row>
    <row r="22">
      <c r="A22" s="4" t="n"/>
      <c r="C22" s="18" t="n"/>
      <c r="D22" s="18" t="n"/>
      <c r="E22" s="17">
        <f>C22-D22</f>
        <v/>
      </c>
      <c r="F22" s="1" t="n"/>
      <c r="G22" s="17">
        <f>IF(AND(F22="Low Value Asset", ('Client Details'!$D$3 - A22) &lt; 365), "Use Low Cost", IF(OR(F22="Low Value Asset", F22&lt;&gt;"Low Cost Asset"), D22*0.375, D22*IF(('Client Details'!$D$3 - A22)&lt;365, 0.1875, 0.375)))</f>
        <v/>
      </c>
      <c r="H22" s="18">
        <f>D22-G22</f>
        <v/>
      </c>
    </row>
    <row r="23">
      <c r="A23" s="26" t="inlineStr">
        <is>
          <t>Total</t>
        </is>
      </c>
      <c r="B23" s="26" t="n"/>
      <c r="C23" s="27">
        <f>SUM(C6:C22)</f>
        <v/>
      </c>
      <c r="D23" s="27">
        <f>SUM(D6:D22)</f>
        <v/>
      </c>
      <c r="E23" s="27">
        <f>SUM(E6:E22)</f>
        <v/>
      </c>
      <c r="F23" s="26" t="n"/>
      <c r="G23" s="27">
        <f>SUM(G6:G22)</f>
        <v/>
      </c>
      <c r="H23" s="27">
        <f>SUM(H6:H22)</f>
        <v/>
      </c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</row>
    <row r="24">
      <c r="F24" s="28" t="n"/>
    </row>
    <row r="25">
      <c r="F25" s="25" t="n"/>
    </row>
    <row r="26" ht="18.5" customHeight="1" s="89">
      <c r="A26" s="15" t="inlineStr">
        <is>
          <t>Navigation</t>
        </is>
      </c>
      <c r="B26" s="16" t="n"/>
      <c r="C26" s="16" t="n"/>
      <c r="D26" s="16" t="n"/>
      <c r="E26" s="16" t="n"/>
      <c r="F26" s="16" t="n"/>
      <c r="G26" s="16" t="n"/>
      <c r="H26" s="16" t="n"/>
    </row>
    <row r="27">
      <c r="A27" s="3" t="inlineStr">
        <is>
          <t>Next</t>
        </is>
      </c>
      <c r="G27" s="29" t="n"/>
    </row>
    <row r="28">
      <c r="A28" s="3" t="inlineStr">
        <is>
          <t>Home</t>
        </is>
      </c>
      <c r="G28" s="29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26" t="inlineStr">
        <is>
          <t>Don't Delete</t>
        </is>
      </c>
    </row>
    <row r="49">
      <c r="A49" s="26" t="n"/>
    </row>
    <row r="50">
      <c r="A50" s="8" t="inlineStr">
        <is>
          <t>Low Cost Asset</t>
        </is>
      </c>
    </row>
    <row r="51">
      <c r="A51" s="8" t="inlineStr">
        <is>
          <t>Low Value Asset</t>
        </is>
      </c>
    </row>
  </sheetData>
  <mergeCells count="3">
    <mergeCell ref="A4:C4"/>
    <mergeCell ref="A1:F1"/>
    <mergeCell ref="A2:C2"/>
  </mergeCells>
  <dataValidations count="1">
    <dataValidation sqref="F6:F22" showDropDown="0" showInputMessage="0" showErrorMessage="1" allowBlank="1" type="list">
      <formula1>$A$49:$A$51</formula1>
    </dataValidation>
  </dataValidations>
  <hyperlinks>
    <hyperlink ref="A27" location="'D12. Personal superannuation co'!A1" display="Next"/>
    <hyperlink ref="A28" location="Expenses!A1" display="Home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6328125" bestFit="1" customWidth="1" style="89" min="1" max="1"/>
    <col width="36.6328125" customWidth="1" style="89" min="2" max="2"/>
    <col width="9.90625" bestFit="1" customWidth="1" style="89" min="3" max="3"/>
    <col width="12.36328125" bestFit="1" customWidth="1" style="89" min="4" max="4"/>
    <col width="8.6328125" customWidth="1" style="89" min="5" max="26"/>
  </cols>
  <sheetData>
    <row r="1" ht="21" customHeight="1" s="89">
      <c r="A1" s="183" t="inlineStr">
        <is>
          <t>D7. Interest deductions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86" t="n"/>
      <c r="B4" s="164" t="n"/>
      <c r="C4" s="17" t="n"/>
      <c r="D4" s="12" t="n"/>
    </row>
    <row r="5" ht="15.5" customHeight="1" s="89">
      <c r="A5" s="187" t="n"/>
      <c r="B5" s="170" t="n"/>
      <c r="C5" s="18" t="n"/>
      <c r="D5" s="13" t="n"/>
    </row>
    <row r="6" ht="15.5" customHeight="1" s="89">
      <c r="A6" s="187" t="n"/>
      <c r="B6" s="170" t="n"/>
      <c r="C6" s="18" t="n"/>
      <c r="D6" s="13" t="n"/>
    </row>
    <row r="7" ht="15.5" customHeight="1" s="89">
      <c r="A7" s="187" t="n"/>
      <c r="B7" s="170" t="n"/>
      <c r="C7" s="18" t="n"/>
      <c r="D7" s="13" t="n"/>
    </row>
    <row r="8" ht="15.5" customHeight="1" s="89">
      <c r="A8" s="187" t="n"/>
      <c r="B8" s="170" t="n"/>
      <c r="C8" s="18" t="n"/>
      <c r="D8" s="13" t="n"/>
    </row>
    <row r="9" ht="15.5" customHeight="1" s="89">
      <c r="A9" s="187" t="n"/>
      <c r="B9" s="170" t="n"/>
      <c r="C9" s="18" t="n"/>
      <c r="D9" s="13" t="n"/>
    </row>
    <row r="10" ht="15.5" customHeight="1" s="89">
      <c r="A10" s="187" t="n"/>
      <c r="B10" s="170" t="n"/>
      <c r="C10" s="18" t="n"/>
      <c r="D10" s="13" t="n"/>
    </row>
    <row r="11" ht="15.5" customHeight="1" s="89">
      <c r="A11" s="187" t="n"/>
      <c r="B11" s="170" t="n"/>
      <c r="C11" s="18" t="n"/>
      <c r="D11" s="13" t="n"/>
    </row>
    <row r="12" ht="15.5" customHeight="1" s="89">
      <c r="A12" s="187" t="n"/>
      <c r="B12" s="170" t="n"/>
      <c r="C12" s="18" t="n"/>
      <c r="D12" s="12" t="n"/>
    </row>
    <row r="13" ht="15.5" customHeight="1" s="89">
      <c r="A13" s="187" t="n"/>
      <c r="B13" s="170" t="n"/>
      <c r="C13" s="18" t="n"/>
      <c r="D13" s="13" t="n"/>
    </row>
    <row r="14" ht="15.5" customHeight="1" s="89">
      <c r="A14" s="187" t="n"/>
      <c r="B14" s="170" t="n"/>
      <c r="C14" s="18" t="n"/>
      <c r="D14" s="13" t="n"/>
    </row>
    <row r="15" ht="15.5" customHeight="1" s="89">
      <c r="A15" s="187" t="n"/>
      <c r="B15" s="170" t="n"/>
      <c r="C15" s="18" t="n"/>
      <c r="D15" s="13" t="n"/>
    </row>
    <row r="16" ht="15.5" customHeight="1" s="89">
      <c r="A16" s="187" t="n"/>
      <c r="B16" s="170" t="n"/>
      <c r="C16" s="18" t="n"/>
      <c r="D16" s="13" t="n"/>
    </row>
    <row r="17" ht="15.5" customHeight="1" s="89">
      <c r="A17" s="194" t="inlineStr">
        <is>
          <t>Total</t>
        </is>
      </c>
      <c r="B17" s="170" t="n"/>
      <c r="C17" s="19">
        <f>SUM(C4:C16)</f>
        <v/>
      </c>
      <c r="D17" s="13" t="n"/>
    </row>
    <row r="20" ht="18.5" customHeight="1" s="89">
      <c r="A20" s="15" t="inlineStr">
        <is>
          <t>Navigation</t>
        </is>
      </c>
      <c r="B20" s="16" t="n"/>
      <c r="C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8. Dividend deductions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81640625" bestFit="1" customWidth="1" style="89" min="1" max="1"/>
    <col width="36.6328125" customWidth="1" style="89" min="2" max="2"/>
    <col width="10" bestFit="1" customWidth="1" style="89" min="3" max="3"/>
    <col width="11.90625" bestFit="1" customWidth="1" style="89" min="4" max="4"/>
    <col width="8.6328125" customWidth="1" style="89" min="5" max="26"/>
  </cols>
  <sheetData>
    <row r="1" ht="21" customHeight="1" s="89">
      <c r="A1" s="183" t="inlineStr">
        <is>
          <t>D8. Dividend deductions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86" t="n"/>
      <c r="B4" s="164" t="n"/>
      <c r="C4" s="17" t="n"/>
      <c r="D4" s="12" t="n"/>
    </row>
    <row r="5" ht="15.5" customHeight="1" s="89">
      <c r="A5" s="187" t="n"/>
      <c r="B5" s="170" t="n"/>
      <c r="C5" s="18" t="n"/>
      <c r="D5" s="13" t="n"/>
    </row>
    <row r="6" ht="15.5" customHeight="1" s="89">
      <c r="A6" s="187" t="n"/>
      <c r="B6" s="170" t="n"/>
      <c r="C6" s="18" t="n"/>
      <c r="D6" s="13" t="n"/>
    </row>
    <row r="7" ht="15.5" customHeight="1" s="89">
      <c r="A7" s="187" t="n"/>
      <c r="B7" s="170" t="n"/>
      <c r="C7" s="18" t="n"/>
      <c r="D7" s="13" t="n"/>
    </row>
    <row r="8" ht="15.5" customHeight="1" s="89">
      <c r="A8" s="187" t="n"/>
      <c r="B8" s="170" t="n"/>
      <c r="C8" s="18" t="n"/>
      <c r="D8" s="13" t="n"/>
    </row>
    <row r="9" ht="15.5" customHeight="1" s="89">
      <c r="A9" s="187" t="n"/>
      <c r="B9" s="170" t="n"/>
      <c r="C9" s="18" t="n"/>
      <c r="D9" s="13" t="n"/>
    </row>
    <row r="10" ht="15.5" customHeight="1" s="89">
      <c r="A10" s="187" t="n"/>
      <c r="B10" s="170" t="n"/>
      <c r="C10" s="18" t="n"/>
      <c r="D10" s="13" t="n"/>
    </row>
    <row r="11" ht="15.5" customHeight="1" s="89">
      <c r="A11" s="187" t="n"/>
      <c r="B11" s="170" t="n"/>
      <c r="C11" s="18" t="n"/>
      <c r="D11" s="13" t="n"/>
    </row>
    <row r="12" ht="15.5" customHeight="1" s="89">
      <c r="A12" s="187" t="n"/>
      <c r="B12" s="170" t="n"/>
      <c r="C12" s="18" t="n"/>
      <c r="D12" s="12" t="n"/>
    </row>
    <row r="13" ht="15.5" customHeight="1" s="89">
      <c r="A13" s="187" t="n"/>
      <c r="B13" s="170" t="n"/>
      <c r="C13" s="18" t="n"/>
      <c r="D13" s="13" t="n"/>
    </row>
    <row r="14" ht="15.5" customHeight="1" s="89">
      <c r="A14" s="187" t="n"/>
      <c r="B14" s="170" t="n"/>
      <c r="C14" s="18" t="n"/>
      <c r="D14" s="13" t="n"/>
    </row>
    <row r="15" ht="15.5" customHeight="1" s="89">
      <c r="A15" s="187" t="n"/>
      <c r="B15" s="170" t="n"/>
      <c r="C15" s="18" t="n"/>
      <c r="D15" s="13" t="n"/>
    </row>
    <row r="16" ht="15.5" customHeight="1" s="89">
      <c r="A16" s="187" t="n"/>
      <c r="B16" s="170" t="n"/>
      <c r="C16" s="18" t="n"/>
      <c r="D16" s="13" t="n"/>
    </row>
    <row r="17" ht="15.5" customHeight="1" s="89">
      <c r="A17" s="194" t="inlineStr">
        <is>
          <t>Total</t>
        </is>
      </c>
      <c r="B17" s="170" t="n"/>
      <c r="C17" s="19">
        <f>SUM(C4:C16)</f>
        <v/>
      </c>
      <c r="D17" s="13" t="n"/>
    </row>
    <row r="20" ht="18.5" customHeight="1" s="89">
      <c r="A20" s="15" t="inlineStr">
        <is>
          <t>Navigation</t>
        </is>
      </c>
      <c r="B20" s="16" t="n"/>
      <c r="C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9. Gifts or donations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81640625" bestFit="1" customWidth="1" style="89" min="1" max="1"/>
    <col width="36.6328125" customWidth="1" style="89" min="2" max="2"/>
    <col width="10" bestFit="1" customWidth="1" style="89" min="3" max="3"/>
    <col width="11.90625" bestFit="1" customWidth="1" style="89" min="4" max="4"/>
    <col width="8.6328125" customWidth="1" style="89" min="5" max="26"/>
  </cols>
  <sheetData>
    <row r="1" ht="21" customHeight="1" s="89">
      <c r="A1" s="183" t="inlineStr">
        <is>
          <t>D9. Gifts or donations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86" t="n"/>
      <c r="B4" s="164" t="n"/>
      <c r="C4" s="17" t="n"/>
      <c r="D4" s="12" t="n"/>
    </row>
    <row r="5" ht="15.5" customHeight="1" s="89">
      <c r="A5" s="187" t="n"/>
      <c r="B5" s="170" t="n"/>
      <c r="C5" s="18" t="n"/>
      <c r="D5" s="13" t="n"/>
    </row>
    <row r="6" ht="15.5" customHeight="1" s="89">
      <c r="A6" s="187" t="n"/>
      <c r="B6" s="170" t="n"/>
      <c r="C6" s="18" t="n"/>
      <c r="D6" s="13" t="n"/>
    </row>
    <row r="7" ht="15.5" customHeight="1" s="89">
      <c r="A7" s="187" t="n"/>
      <c r="B7" s="170" t="n"/>
      <c r="C7" s="18" t="n"/>
      <c r="D7" s="13" t="n"/>
    </row>
    <row r="8" ht="15.5" customHeight="1" s="89">
      <c r="A8" s="187" t="n"/>
      <c r="B8" s="170" t="n"/>
      <c r="C8" s="18" t="n"/>
      <c r="D8" s="13" t="n"/>
    </row>
    <row r="9" ht="15.5" customHeight="1" s="89">
      <c r="A9" s="187" t="n"/>
      <c r="B9" s="170" t="n"/>
      <c r="C9" s="18" t="n"/>
      <c r="D9" s="13" t="n"/>
    </row>
    <row r="10" ht="15.5" customHeight="1" s="89">
      <c r="A10" s="187" t="n"/>
      <c r="B10" s="170" t="n"/>
      <c r="C10" s="18" t="n"/>
      <c r="D10" s="13" t="n"/>
    </row>
    <row r="11" ht="15.5" customHeight="1" s="89">
      <c r="A11" s="187" t="n"/>
      <c r="B11" s="170" t="n"/>
      <c r="C11" s="18" t="n"/>
      <c r="D11" s="13" t="n"/>
    </row>
    <row r="12" ht="15.5" customHeight="1" s="89">
      <c r="A12" s="187" t="n"/>
      <c r="B12" s="170" t="n"/>
      <c r="C12" s="18" t="n"/>
      <c r="D12" s="12" t="n"/>
    </row>
    <row r="13" ht="15.5" customHeight="1" s="89">
      <c r="A13" s="187" t="n"/>
      <c r="B13" s="170" t="n"/>
      <c r="C13" s="18" t="n"/>
      <c r="D13" s="13" t="n"/>
    </row>
    <row r="14" ht="15.5" customHeight="1" s="89">
      <c r="A14" s="187" t="n"/>
      <c r="B14" s="170" t="n"/>
      <c r="C14" s="18" t="n"/>
      <c r="D14" s="13" t="n"/>
    </row>
    <row r="15" ht="15.5" customHeight="1" s="89">
      <c r="A15" s="187" t="n"/>
      <c r="B15" s="170" t="n"/>
      <c r="C15" s="18" t="n"/>
      <c r="D15" s="13" t="n"/>
    </row>
    <row r="16" ht="15.5" customHeight="1" s="89">
      <c r="A16" s="187" t="n"/>
      <c r="B16" s="170" t="n"/>
      <c r="C16" s="18" t="n"/>
      <c r="D16" s="13" t="n"/>
    </row>
    <row r="17" ht="15.5" customHeight="1" s="89">
      <c r="A17" s="194" t="inlineStr">
        <is>
          <t>Total</t>
        </is>
      </c>
      <c r="B17" s="170" t="n"/>
      <c r="C17" s="19">
        <f>SUM(C4:C16)</f>
        <v/>
      </c>
      <c r="D17" s="13" t="n"/>
    </row>
    <row r="20" ht="18.5" customHeight="1" s="89">
      <c r="A20" s="15" t="inlineStr">
        <is>
          <t>Navigation</t>
        </is>
      </c>
      <c r="B20" s="16" t="n"/>
      <c r="C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10. Cost of managing tax affai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6328125" bestFit="1" customWidth="1" style="89" min="1" max="1"/>
    <col width="36.6328125" customWidth="1" style="89" min="2" max="2"/>
    <col width="9.90625" bestFit="1" customWidth="1" style="89" min="3" max="3"/>
    <col width="12.36328125" bestFit="1" customWidth="1" style="89" min="4" max="4"/>
    <col width="8.6328125" customWidth="1" style="89" min="5" max="26"/>
  </cols>
  <sheetData>
    <row r="1" ht="21" customHeight="1" s="89">
      <c r="A1" s="183" t="inlineStr">
        <is>
          <t>D10. Cost of managing tax affairs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86" t="n"/>
      <c r="B4" s="164" t="n"/>
      <c r="C4" s="17" t="n"/>
      <c r="D4" s="12" t="n"/>
    </row>
    <row r="5" ht="15.5" customHeight="1" s="89">
      <c r="A5" s="187" t="n"/>
      <c r="B5" s="170" t="n"/>
      <c r="C5" s="18" t="n"/>
      <c r="D5" s="13" t="n"/>
    </row>
    <row r="6" ht="15.5" customHeight="1" s="89">
      <c r="A6" s="187" t="n"/>
      <c r="B6" s="170" t="n"/>
      <c r="C6" s="18" t="n"/>
      <c r="D6" s="13" t="n"/>
    </row>
    <row r="7" ht="15.5" customHeight="1" s="89">
      <c r="A7" s="187" t="n"/>
      <c r="B7" s="170" t="n"/>
      <c r="C7" s="18" t="n"/>
      <c r="D7" s="13" t="n"/>
    </row>
    <row r="8" ht="15.5" customHeight="1" s="89">
      <c r="A8" s="187" t="n"/>
      <c r="B8" s="170" t="n"/>
      <c r="C8" s="18" t="n"/>
      <c r="D8" s="13" t="n"/>
    </row>
    <row r="9" ht="15.5" customHeight="1" s="89">
      <c r="A9" s="187" t="n"/>
      <c r="B9" s="170" t="n"/>
      <c r="C9" s="18" t="n"/>
      <c r="D9" s="13" t="n"/>
    </row>
    <row r="10" ht="15.5" customHeight="1" s="89">
      <c r="A10" s="187" t="n"/>
      <c r="B10" s="170" t="n"/>
      <c r="C10" s="18" t="n"/>
      <c r="D10" s="13" t="n"/>
    </row>
    <row r="11" ht="15.5" customHeight="1" s="89">
      <c r="A11" s="187" t="n"/>
      <c r="B11" s="170" t="n"/>
      <c r="C11" s="18" t="n"/>
      <c r="D11" s="13" t="n"/>
    </row>
    <row r="12" ht="15.5" customHeight="1" s="89">
      <c r="A12" s="187" t="n"/>
      <c r="B12" s="170" t="n"/>
      <c r="C12" s="18" t="n"/>
      <c r="D12" s="12" t="n"/>
    </row>
    <row r="13" ht="15.5" customHeight="1" s="89">
      <c r="A13" s="187" t="n"/>
      <c r="B13" s="170" t="n"/>
      <c r="C13" s="18" t="n"/>
      <c r="D13" s="13" t="n"/>
    </row>
    <row r="14" ht="15.5" customHeight="1" s="89">
      <c r="A14" s="187" t="n"/>
      <c r="B14" s="170" t="n"/>
      <c r="C14" s="18" t="n"/>
      <c r="D14" s="13" t="n"/>
    </row>
    <row r="15" ht="15.5" customHeight="1" s="89">
      <c r="A15" s="187" t="n"/>
      <c r="B15" s="170" t="n"/>
      <c r="C15" s="18" t="n"/>
      <c r="D15" s="13" t="n"/>
    </row>
    <row r="16" ht="15.5" customHeight="1" s="89">
      <c r="A16" s="187" t="n"/>
      <c r="B16" s="170" t="n"/>
      <c r="C16" s="18" t="n"/>
      <c r="D16" s="13" t="n"/>
    </row>
    <row r="17" ht="15.5" customHeight="1" s="89">
      <c r="A17" s="194" t="inlineStr">
        <is>
          <t>Total</t>
        </is>
      </c>
      <c r="B17" s="170" t="n"/>
      <c r="C17" s="19">
        <f>SUM(C4:C16)</f>
        <v/>
      </c>
      <c r="D17" s="13" t="n"/>
    </row>
    <row r="20" ht="18.5" customHeight="1" s="89">
      <c r="A20" s="15" t="inlineStr">
        <is>
          <t>Navigation</t>
        </is>
      </c>
      <c r="B20" s="16" t="n"/>
      <c r="C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5. Depreciable expenses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81640625" bestFit="1" customWidth="1" style="89" min="1" max="1"/>
    <col width="36.6328125" customWidth="1" style="89" min="2" max="2"/>
    <col width="10" bestFit="1" customWidth="1" style="89" min="3" max="3"/>
    <col width="11.90625" bestFit="1" customWidth="1" style="89" min="4" max="4"/>
    <col width="8.6328125" customWidth="1" style="89" min="5" max="26"/>
  </cols>
  <sheetData>
    <row r="1" ht="21" customHeight="1" s="89">
      <c r="A1" s="183" t="inlineStr">
        <is>
          <t>D11. Deductible amount of UPP of foreign pension or annuity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86" t="n"/>
      <c r="B4" s="164" t="n"/>
      <c r="C4" s="17" t="n"/>
      <c r="D4" s="12" t="n"/>
    </row>
    <row r="5" ht="15.5" customHeight="1" s="89">
      <c r="A5" s="187" t="n"/>
      <c r="B5" s="170" t="n"/>
      <c r="C5" s="18" t="n"/>
      <c r="D5" s="13" t="n"/>
    </row>
    <row r="6" ht="15.5" customHeight="1" s="89">
      <c r="A6" s="187" t="n"/>
      <c r="B6" s="170" t="n"/>
      <c r="C6" s="18" t="n"/>
      <c r="D6" s="13" t="n"/>
    </row>
    <row r="7" ht="15.5" customHeight="1" s="89">
      <c r="A7" s="187" t="n"/>
      <c r="B7" s="170" t="n"/>
      <c r="C7" s="18" t="n"/>
      <c r="D7" s="13" t="n"/>
    </row>
    <row r="8" ht="15.5" customHeight="1" s="89">
      <c r="A8" s="187" t="n"/>
      <c r="B8" s="170" t="n"/>
      <c r="C8" s="18" t="n"/>
      <c r="D8" s="13" t="n"/>
    </row>
    <row r="9" ht="15.5" customHeight="1" s="89">
      <c r="A9" s="187" t="n"/>
      <c r="B9" s="170" t="n"/>
      <c r="C9" s="18" t="n"/>
      <c r="D9" s="13" t="n"/>
    </row>
    <row r="10" ht="15.5" customHeight="1" s="89">
      <c r="A10" s="187" t="n"/>
      <c r="B10" s="170" t="n"/>
      <c r="C10" s="18" t="n"/>
      <c r="D10" s="13" t="n"/>
    </row>
    <row r="11" ht="15.5" customHeight="1" s="89">
      <c r="A11" s="187" t="n"/>
      <c r="B11" s="170" t="n"/>
      <c r="C11" s="18" t="n"/>
      <c r="D11" s="13" t="n"/>
    </row>
    <row r="12" ht="15.5" customHeight="1" s="89">
      <c r="A12" s="187" t="n"/>
      <c r="B12" s="170" t="n"/>
      <c r="C12" s="18" t="n"/>
      <c r="D12" s="12" t="n"/>
    </row>
    <row r="13" ht="15.5" customHeight="1" s="89">
      <c r="A13" s="187" t="n"/>
      <c r="B13" s="170" t="n"/>
      <c r="C13" s="18" t="n"/>
      <c r="D13" s="13" t="n"/>
    </row>
    <row r="14" ht="15.5" customHeight="1" s="89">
      <c r="A14" s="187" t="n"/>
      <c r="B14" s="170" t="n"/>
      <c r="C14" s="18" t="n"/>
      <c r="D14" s="13" t="n"/>
    </row>
    <row r="15" ht="15.5" customHeight="1" s="89">
      <c r="A15" s="187" t="n"/>
      <c r="B15" s="170" t="n"/>
      <c r="C15" s="18" t="n"/>
      <c r="D15" s="13" t="n"/>
    </row>
    <row r="16" ht="15.5" customHeight="1" s="89">
      <c r="A16" s="187" t="n"/>
      <c r="B16" s="170" t="n"/>
      <c r="C16" s="18" t="n"/>
      <c r="D16" s="13" t="n"/>
    </row>
    <row r="17" ht="15.5" customHeight="1" s="89">
      <c r="A17" s="194" t="inlineStr">
        <is>
          <t>Total</t>
        </is>
      </c>
      <c r="B17" s="170" t="n"/>
      <c r="C17" s="19">
        <f>SUM(C4:C16)</f>
        <v/>
      </c>
      <c r="D17" s="13" t="n"/>
    </row>
    <row r="20" ht="18.5" customHeight="1" s="89">
      <c r="A20" s="15" t="inlineStr">
        <is>
          <t>Navigation</t>
        </is>
      </c>
      <c r="B20" s="16" t="n"/>
      <c r="C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6. Low value pool deduction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6328125" bestFit="1" customWidth="1" style="89" min="1" max="1"/>
    <col width="36.6328125" customWidth="1" style="89" min="2" max="2"/>
    <col width="9.90625" bestFit="1" customWidth="1" style="89" min="3" max="3"/>
    <col width="12.36328125" bestFit="1" customWidth="1" style="89" min="4" max="4"/>
    <col width="8.6328125" customWidth="1" style="89" min="5" max="26"/>
  </cols>
  <sheetData>
    <row r="1" ht="21" customHeight="1" s="89">
      <c r="A1" s="183" t="inlineStr">
        <is>
          <t>D12. Personal superannuation contributions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86" t="n"/>
      <c r="B4" s="164" t="n"/>
      <c r="C4" s="17" t="n"/>
      <c r="D4" s="12" t="n"/>
    </row>
    <row r="5" ht="15.5" customHeight="1" s="89">
      <c r="A5" s="187" t="n"/>
      <c r="B5" s="170" t="n"/>
      <c r="C5" s="18" t="n"/>
      <c r="D5" s="13" t="n"/>
    </row>
    <row r="6" ht="15.5" customHeight="1" s="89">
      <c r="A6" s="187" t="n"/>
      <c r="B6" s="170" t="n"/>
      <c r="C6" s="18" t="n"/>
      <c r="D6" s="13" t="n"/>
    </row>
    <row r="7" ht="15.5" customHeight="1" s="89">
      <c r="A7" s="187" t="n"/>
      <c r="B7" s="170" t="n"/>
      <c r="C7" s="18" t="n"/>
      <c r="D7" s="13" t="n"/>
    </row>
    <row r="8" ht="15.5" customHeight="1" s="89">
      <c r="A8" s="187" t="n"/>
      <c r="B8" s="170" t="n"/>
      <c r="C8" s="18" t="n"/>
      <c r="D8" s="13" t="n"/>
    </row>
    <row r="9" ht="15.5" customHeight="1" s="89">
      <c r="A9" s="187" t="n"/>
      <c r="B9" s="170" t="n"/>
      <c r="C9" s="18" t="n"/>
      <c r="D9" s="13" t="n"/>
    </row>
    <row r="10" ht="15.5" customHeight="1" s="89">
      <c r="A10" s="187" t="n"/>
      <c r="B10" s="170" t="n"/>
      <c r="C10" s="18" t="n"/>
      <c r="D10" s="13" t="n"/>
    </row>
    <row r="11" ht="15.5" customHeight="1" s="89">
      <c r="A11" s="187" t="n"/>
      <c r="B11" s="170" t="n"/>
      <c r="C11" s="18" t="n"/>
      <c r="D11" s="13" t="n"/>
    </row>
    <row r="12" ht="15.5" customHeight="1" s="89">
      <c r="A12" s="187" t="n"/>
      <c r="B12" s="170" t="n"/>
      <c r="C12" s="18" t="n"/>
      <c r="D12" s="12" t="n"/>
    </row>
    <row r="13" ht="15.5" customHeight="1" s="89">
      <c r="A13" s="187" t="n"/>
      <c r="B13" s="170" t="n"/>
      <c r="C13" s="18" t="n"/>
      <c r="D13" s="13" t="n"/>
    </row>
    <row r="14" ht="15.5" customHeight="1" s="89">
      <c r="A14" s="187" t="n"/>
      <c r="B14" s="170" t="n"/>
      <c r="C14" s="18" t="n"/>
      <c r="D14" s="13" t="n"/>
    </row>
    <row r="15" ht="15.5" customHeight="1" s="89">
      <c r="A15" s="187" t="n"/>
      <c r="B15" s="170" t="n"/>
      <c r="C15" s="18" t="n"/>
      <c r="D15" s="13" t="n"/>
    </row>
    <row r="16" ht="15.5" customHeight="1" s="89">
      <c r="A16" s="187" t="n"/>
      <c r="B16" s="170" t="n"/>
      <c r="C16" s="18" t="n"/>
      <c r="D16" s="13" t="n"/>
    </row>
    <row r="17" ht="15.5" customHeight="1" s="89">
      <c r="A17" s="194" t="inlineStr">
        <is>
          <t>Total</t>
        </is>
      </c>
      <c r="B17" s="170" t="n"/>
      <c r="C17" s="19">
        <f>SUM(C4:C16)</f>
        <v/>
      </c>
      <c r="D17" s="13" t="n"/>
    </row>
    <row r="20" ht="18.5" customHeight="1" s="89">
      <c r="A20" s="15" t="inlineStr">
        <is>
          <t>Navigation</t>
        </is>
      </c>
      <c r="B20" s="16" t="n"/>
      <c r="C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13. Deduction for project pool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81640625" bestFit="1" customWidth="1" style="89" min="1" max="1"/>
    <col width="36.6328125" customWidth="1" style="89" min="2" max="2"/>
    <col width="10" bestFit="1" customWidth="1" style="89" min="3" max="3"/>
    <col width="11.90625" customWidth="1" style="89" min="4" max="4"/>
    <col width="8.6328125" customWidth="1" style="89" min="5" max="26"/>
  </cols>
  <sheetData>
    <row r="1" ht="21" customHeight="1" s="89">
      <c r="A1" s="183" t="inlineStr">
        <is>
          <t>D13. Deduction for project pool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86" t="n"/>
      <c r="B4" s="164" t="n"/>
      <c r="C4" s="17" t="n"/>
      <c r="D4" s="12" t="n"/>
    </row>
    <row r="5" ht="15.5" customHeight="1" s="89">
      <c r="A5" s="187" t="n"/>
      <c r="B5" s="170" t="n"/>
      <c r="C5" s="18" t="n"/>
      <c r="D5" s="13" t="n"/>
    </row>
    <row r="6" ht="15.5" customHeight="1" s="89">
      <c r="A6" s="187" t="n"/>
      <c r="B6" s="170" t="n"/>
      <c r="C6" s="18" t="n"/>
      <c r="D6" s="13" t="n"/>
    </row>
    <row r="7" ht="15.5" customHeight="1" s="89">
      <c r="A7" s="187" t="n"/>
      <c r="B7" s="170" t="n"/>
      <c r="C7" s="18" t="n"/>
      <c r="D7" s="13" t="n"/>
    </row>
    <row r="8" ht="15.5" customHeight="1" s="89">
      <c r="A8" s="187" t="n"/>
      <c r="B8" s="170" t="n"/>
      <c r="C8" s="18" t="n"/>
      <c r="D8" s="13" t="n"/>
    </row>
    <row r="9" ht="15.5" customHeight="1" s="89">
      <c r="A9" s="187" t="n"/>
      <c r="B9" s="170" t="n"/>
      <c r="C9" s="18" t="n"/>
      <c r="D9" s="13" t="n"/>
    </row>
    <row r="10" ht="15.5" customHeight="1" s="89">
      <c r="A10" s="187" t="n"/>
      <c r="B10" s="170" t="n"/>
      <c r="C10" s="18" t="n"/>
      <c r="D10" s="13" t="n"/>
    </row>
    <row r="11" ht="15.5" customHeight="1" s="89">
      <c r="A11" s="187" t="n"/>
      <c r="B11" s="170" t="n"/>
      <c r="C11" s="18" t="n"/>
      <c r="D11" s="13" t="n"/>
    </row>
    <row r="12" ht="15.5" customHeight="1" s="89">
      <c r="A12" s="187" t="n"/>
      <c r="B12" s="170" t="n"/>
      <c r="C12" s="18" t="n"/>
      <c r="D12" s="12" t="n"/>
    </row>
    <row r="13" ht="15.5" customHeight="1" s="89">
      <c r="A13" s="187" t="n"/>
      <c r="B13" s="170" t="n"/>
      <c r="C13" s="18" t="n"/>
      <c r="D13" s="13" t="n"/>
    </row>
    <row r="14" ht="15.5" customHeight="1" s="89">
      <c r="A14" s="187" t="n"/>
      <c r="B14" s="170" t="n"/>
      <c r="C14" s="18" t="n"/>
      <c r="D14" s="13" t="n"/>
    </row>
    <row r="15" ht="15.5" customHeight="1" s="89">
      <c r="A15" s="187" t="n"/>
      <c r="B15" s="170" t="n"/>
      <c r="C15" s="18" t="n"/>
      <c r="D15" s="13" t="n"/>
    </row>
    <row r="16" ht="15.5" customHeight="1" s="89">
      <c r="A16" s="187" t="n"/>
      <c r="B16" s="170" t="n"/>
      <c r="C16" s="18" t="n"/>
      <c r="D16" s="13" t="n"/>
    </row>
    <row r="17" ht="15.5" customHeight="1" s="89">
      <c r="A17" s="194" t="inlineStr">
        <is>
          <t>Total</t>
        </is>
      </c>
      <c r="B17" s="170" t="n"/>
      <c r="C17" s="19">
        <f>SUM(C4:C16)</f>
        <v/>
      </c>
      <c r="D17" s="13" t="n"/>
    </row>
    <row r="20" ht="18.5" customHeight="1" s="89">
      <c r="A20" s="15" t="inlineStr">
        <is>
          <t>Navigation</t>
        </is>
      </c>
      <c r="B20" s="16" t="n"/>
      <c r="C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C20:D20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21" location="'D14. Forestry managed investmen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81640625" bestFit="1" customWidth="1" style="89" min="1" max="1"/>
    <col width="36.6328125" customWidth="1" style="89" min="2" max="2"/>
    <col width="10" bestFit="1" customWidth="1" style="89" min="3" max="3"/>
    <col width="11.90625" bestFit="1" customWidth="1" style="89" min="4" max="4"/>
    <col width="8.6328125" customWidth="1" style="89" min="5" max="26"/>
  </cols>
  <sheetData>
    <row r="1" ht="21" customHeight="1" s="89">
      <c r="A1" s="183" t="inlineStr">
        <is>
          <t>D14. Forestry managed investment scheme deduction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2" t="n"/>
      <c r="B4" s="164" t="n"/>
      <c r="C4" s="5" t="n"/>
      <c r="D4" s="12" t="n"/>
    </row>
    <row r="5" ht="15.5" customHeight="1" s="89">
      <c r="A5" s="13" t="n"/>
      <c r="B5" s="170" t="n"/>
      <c r="C5" s="7" t="n"/>
      <c r="D5" s="13" t="n"/>
    </row>
    <row r="6" ht="15.5" customHeight="1" s="89">
      <c r="A6" s="13" t="n"/>
      <c r="B6" s="170" t="n"/>
      <c r="C6" s="7" t="n"/>
      <c r="D6" s="13" t="n"/>
    </row>
    <row r="7" ht="15.5" customHeight="1" s="89">
      <c r="A7" s="13" t="n"/>
      <c r="B7" s="170" t="n"/>
      <c r="C7" s="7" t="n"/>
      <c r="D7" s="13" t="n"/>
    </row>
    <row r="8" ht="15.5" customHeight="1" s="89">
      <c r="A8" s="13" t="n"/>
      <c r="B8" s="170" t="n"/>
      <c r="C8" s="7" t="n"/>
      <c r="D8" s="13" t="n"/>
    </row>
    <row r="9" ht="15.5" customHeight="1" s="89">
      <c r="A9" s="13" t="n"/>
      <c r="B9" s="170" t="n"/>
      <c r="C9" s="7" t="n"/>
      <c r="D9" s="13" t="n"/>
    </row>
    <row r="10" ht="15.5" customHeight="1" s="89">
      <c r="A10" s="13" t="n"/>
      <c r="B10" s="170" t="n"/>
      <c r="C10" s="7" t="n"/>
      <c r="D10" s="13" t="n"/>
    </row>
    <row r="11" ht="15.5" customHeight="1" s="89">
      <c r="A11" s="13" t="n"/>
      <c r="B11" s="170" t="n"/>
      <c r="C11" s="7" t="n"/>
      <c r="D11" s="13" t="n"/>
    </row>
    <row r="12" ht="15.5" customHeight="1" s="89">
      <c r="A12" s="13" t="n"/>
      <c r="B12" s="170" t="n"/>
      <c r="C12" s="7" t="n"/>
      <c r="D12" s="12" t="n"/>
    </row>
    <row r="13" ht="15.5" customHeight="1" s="89">
      <c r="A13" s="13" t="n"/>
      <c r="B13" s="170" t="n"/>
      <c r="C13" s="7" t="n"/>
      <c r="D13" s="13" t="n"/>
    </row>
    <row r="14" ht="15.5" customHeight="1" s="89">
      <c r="A14" s="13" t="n"/>
      <c r="B14" s="170" t="n"/>
      <c r="C14" s="7" t="n"/>
      <c r="D14" s="13" t="n"/>
    </row>
    <row r="15" ht="15.5" customHeight="1" s="89">
      <c r="A15" s="13" t="n"/>
      <c r="B15" s="170" t="n"/>
      <c r="C15" s="7" t="n"/>
      <c r="D15" s="13" t="n"/>
    </row>
    <row r="16" ht="15.5" customHeight="1" s="89">
      <c r="A16" s="13" t="n"/>
      <c r="B16" s="170" t="n"/>
      <c r="C16" s="7" t="n"/>
      <c r="D16" s="13" t="n"/>
    </row>
    <row r="17" ht="15.5" customHeight="1" s="89">
      <c r="A17" s="184" t="inlineStr">
        <is>
          <t>Total</t>
        </is>
      </c>
      <c r="B17" s="170" t="n"/>
      <c r="C17" s="14">
        <f>SUM(C4:C16)</f>
        <v/>
      </c>
      <c r="D17" s="13" t="n"/>
    </row>
    <row r="20" ht="18.5" customHeight="1" s="89">
      <c r="A20" s="15" t="inlineStr">
        <is>
          <t>Navigation</t>
        </is>
      </c>
      <c r="B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B20:D20"/>
    <mergeCell ref="A12:B12"/>
  </mergeCells>
  <hyperlinks>
    <hyperlink ref="A21" location="'D15. Other deductions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D6" sqref="D6"/>
    </sheetView>
  </sheetViews>
  <sheetFormatPr baseColWidth="10" defaultColWidth="14.453125" defaultRowHeight="14.5"/>
  <cols>
    <col width="24.08984375" customWidth="1" style="89" min="1" max="1"/>
    <col width="36.6328125" customWidth="1" style="89" min="2" max="2"/>
    <col width="9.90625" bestFit="1" customWidth="1" style="89" min="3" max="3"/>
    <col width="31.26953125" bestFit="1" customWidth="1" style="89" min="4" max="4"/>
    <col width="8.6328125" customWidth="1" style="89" min="5" max="26"/>
  </cols>
  <sheetData>
    <row r="1" ht="21" customHeight="1" s="89">
      <c r="A1" s="183" t="inlineStr">
        <is>
          <t>D15. Other deductions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2" t="n"/>
      <c r="B4" s="164" t="n"/>
      <c r="C4" s="76" t="n"/>
      <c r="D4" s="77" t="n"/>
    </row>
    <row r="5" ht="15.5" customHeight="1" s="89">
      <c r="A5" s="12" t="n"/>
      <c r="B5" s="164" t="n"/>
      <c r="C5" s="76" t="n"/>
      <c r="D5" s="77" t="n"/>
    </row>
    <row r="6" ht="15.5" customHeight="1" s="89">
      <c r="A6" s="121" t="n"/>
      <c r="B6" s="122" t="n"/>
      <c r="C6" s="7" t="n"/>
      <c r="D6" s="77" t="n"/>
    </row>
    <row r="7" ht="15.5" customHeight="1" s="89">
      <c r="A7" s="13" t="n"/>
      <c r="B7" s="170" t="n"/>
      <c r="C7" s="7" t="n"/>
      <c r="D7" s="13" t="n"/>
    </row>
    <row r="8" ht="15.5" customHeight="1" s="89">
      <c r="A8" s="13" t="n"/>
      <c r="B8" s="170" t="n"/>
      <c r="C8" s="7" t="n"/>
      <c r="D8" s="13" t="n"/>
    </row>
    <row r="9" ht="15.5" customHeight="1" s="89">
      <c r="A9" s="13" t="n"/>
      <c r="B9" s="170" t="n"/>
      <c r="C9" s="7" t="n"/>
      <c r="D9" s="13" t="n"/>
    </row>
    <row r="10" ht="15.5" customHeight="1" s="89">
      <c r="A10" s="13" t="n"/>
      <c r="B10" s="170" t="n"/>
      <c r="C10" s="7" t="n"/>
      <c r="D10" s="13" t="n"/>
    </row>
    <row r="11" ht="15.5" customHeight="1" s="89">
      <c r="A11" s="13" t="n"/>
      <c r="B11" s="170" t="n"/>
      <c r="C11" s="7" t="n"/>
      <c r="D11" s="13" t="n"/>
    </row>
    <row r="12" ht="15.5" customHeight="1" s="89">
      <c r="A12" s="13" t="n"/>
      <c r="B12" s="170" t="n"/>
      <c r="C12" s="7" t="n"/>
      <c r="D12" s="12" t="n"/>
    </row>
    <row r="13" ht="15.5" customHeight="1" s="89">
      <c r="A13" s="13" t="n"/>
      <c r="B13" s="170" t="n"/>
      <c r="C13" s="7" t="n"/>
      <c r="D13" s="13" t="n"/>
    </row>
    <row r="14" ht="15.5" customHeight="1" s="89">
      <c r="A14" s="13" t="n"/>
      <c r="B14" s="170" t="n"/>
      <c r="C14" s="7" t="n"/>
      <c r="D14" s="13" t="n"/>
    </row>
    <row r="15" ht="15.5" customHeight="1" s="89">
      <c r="A15" s="13" t="n"/>
      <c r="B15" s="170" t="n"/>
      <c r="C15" s="7" t="n"/>
      <c r="D15" s="13" t="n"/>
    </row>
    <row r="16" ht="15.5" customHeight="1" s="89">
      <c r="A16" s="13" t="n"/>
      <c r="B16" s="170" t="n"/>
      <c r="C16" s="7" t="n"/>
      <c r="D16" s="13" t="n"/>
    </row>
    <row r="17" ht="15.5" customHeight="1" s="89">
      <c r="A17" s="184" t="inlineStr">
        <is>
          <t>Total</t>
        </is>
      </c>
      <c r="B17" s="170" t="n"/>
      <c r="C17" s="14">
        <f>SUM(C4:C16)</f>
        <v/>
      </c>
      <c r="D17" s="13" t="n"/>
    </row>
    <row r="20" ht="18.5" customHeight="1" s="89">
      <c r="A20" s="15" t="inlineStr">
        <is>
          <t>Navigation</t>
        </is>
      </c>
      <c r="B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6">
    <mergeCell ref="A4:B4"/>
    <mergeCell ref="A1:D1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B20:D20"/>
    <mergeCell ref="A12:B12"/>
  </mergeCells>
  <hyperlinks>
    <hyperlink ref="A21" location="'L1. Tax losses of earlier incom'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60" zoomScaleNormal="60" workbookViewId="0">
      <pane xSplit="4" ySplit="20" topLeftCell="E21" activePane="bottomRight" state="frozen"/>
      <selection pane="topRight" activeCell="E1" sqref="E1"/>
      <selection pane="bottomLeft" activeCell="A21" sqref="A21"/>
      <selection pane="bottomRight" activeCell="A1" sqref="A1:XFD1048576"/>
    </sheetView>
  </sheetViews>
  <sheetFormatPr baseColWidth="10" defaultColWidth="14.453125" defaultRowHeight="14.5"/>
  <cols>
    <col width="12.81640625" bestFit="1" customWidth="1" style="89" min="1" max="1"/>
    <col width="36.6328125" customWidth="1" style="89" min="2" max="2"/>
    <col width="10" bestFit="1" customWidth="1" style="89" min="3" max="3"/>
    <col width="11.90625" bestFit="1" customWidth="1" style="89" min="4" max="4"/>
    <col width="8.6328125" customWidth="1" style="89" min="5" max="26"/>
  </cols>
  <sheetData>
    <row r="1" ht="21" customHeight="1" s="89">
      <c r="A1" s="183" t="inlineStr">
        <is>
          <t>L1. Tax losses of earlier income year</t>
        </is>
      </c>
      <c r="B1" s="159" t="n"/>
      <c r="C1" s="159" t="n"/>
      <c r="D1" s="159" t="n"/>
    </row>
    <row r="2" ht="18.5" customHeight="1" s="89">
      <c r="A2" s="9" t="n"/>
      <c r="B2" s="10" t="n"/>
      <c r="C2" s="11" t="n"/>
    </row>
    <row r="3" ht="18.5" customHeight="1" s="89">
      <c r="A3" s="174" t="inlineStr">
        <is>
          <t>Expense</t>
        </is>
      </c>
      <c r="C3" s="6" t="inlineStr">
        <is>
          <t>Amount</t>
        </is>
      </c>
      <c r="D3" s="6" t="inlineStr">
        <is>
          <t>Reference</t>
        </is>
      </c>
    </row>
    <row r="4" ht="15.5" customHeight="1" s="89">
      <c r="A4" s="12" t="n"/>
      <c r="B4" s="164" t="n"/>
      <c r="C4" s="5" t="n"/>
      <c r="D4" s="12" t="n"/>
    </row>
    <row r="5" ht="15.5" customHeight="1" s="89">
      <c r="A5" s="13" t="n"/>
      <c r="B5" s="170" t="n"/>
      <c r="C5" s="7" t="n"/>
      <c r="D5" s="13" t="n"/>
    </row>
    <row r="6" ht="15.5" customHeight="1" s="89">
      <c r="A6" s="13" t="n"/>
      <c r="B6" s="170" t="n"/>
      <c r="C6" s="7" t="n"/>
      <c r="D6" s="13" t="n"/>
    </row>
    <row r="7" ht="15.5" customHeight="1" s="89">
      <c r="A7" s="13" t="n"/>
      <c r="B7" s="170" t="n"/>
      <c r="C7" s="7" t="n"/>
      <c r="D7" s="13" t="n"/>
    </row>
    <row r="8" ht="15.5" customHeight="1" s="89">
      <c r="A8" s="13" t="n"/>
      <c r="B8" s="170" t="n"/>
      <c r="C8" s="7" t="n"/>
      <c r="D8" s="13" t="n"/>
    </row>
    <row r="9" ht="15.5" customHeight="1" s="89">
      <c r="A9" s="13" t="n"/>
      <c r="B9" s="170" t="n"/>
      <c r="C9" s="7" t="n"/>
      <c r="D9" s="13" t="n"/>
    </row>
    <row r="10" ht="15.5" customHeight="1" s="89">
      <c r="A10" s="13" t="n"/>
      <c r="B10" s="170" t="n"/>
      <c r="C10" s="7" t="n"/>
      <c r="D10" s="13" t="n"/>
    </row>
    <row r="11" ht="15.5" customHeight="1" s="89">
      <c r="A11" s="13" t="n"/>
      <c r="B11" s="170" t="n"/>
      <c r="C11" s="7" t="n"/>
      <c r="D11" s="13" t="n"/>
    </row>
    <row r="12" ht="15.5" customHeight="1" s="89">
      <c r="A12" s="13" t="n"/>
      <c r="B12" s="170" t="n"/>
      <c r="C12" s="7" t="n"/>
      <c r="D12" s="12" t="n"/>
    </row>
    <row r="13" ht="15.5" customHeight="1" s="89">
      <c r="A13" s="13" t="n"/>
      <c r="B13" s="170" t="n"/>
      <c r="C13" s="7" t="n"/>
      <c r="D13" s="13" t="n"/>
    </row>
    <row r="14" ht="15.5" customHeight="1" s="89">
      <c r="A14" s="13" t="n"/>
      <c r="B14" s="170" t="n"/>
      <c r="C14" s="7" t="n"/>
      <c r="D14" s="13" t="n"/>
    </row>
    <row r="15" ht="15.5" customHeight="1" s="89">
      <c r="A15" s="13" t="n"/>
      <c r="B15" s="170" t="n"/>
      <c r="C15" s="7" t="n"/>
      <c r="D15" s="13" t="n"/>
    </row>
    <row r="16" ht="15.5" customHeight="1" s="89">
      <c r="A16" s="13" t="n"/>
      <c r="B16" s="170" t="n"/>
      <c r="C16" s="7" t="n"/>
      <c r="D16" s="13" t="n"/>
    </row>
    <row r="17" ht="15.5" customHeight="1" s="89">
      <c r="A17" s="184" t="inlineStr">
        <is>
          <t>Total</t>
        </is>
      </c>
      <c r="B17" s="170" t="n"/>
      <c r="C17" s="14">
        <f>SUM(C4:C16)</f>
        <v/>
      </c>
      <c r="D17" s="13" t="n"/>
    </row>
    <row r="20" ht="18.5" customHeight="1" s="89">
      <c r="A20" s="15" t="inlineStr">
        <is>
          <t>Navigation</t>
        </is>
      </c>
      <c r="B20" s="185" t="n"/>
    </row>
    <row r="21">
      <c r="A21" s="3" t="inlineStr">
        <is>
          <t>Next</t>
        </is>
      </c>
    </row>
    <row r="22">
      <c r="A22" s="3" t="inlineStr">
        <is>
          <t>Home</t>
        </is>
      </c>
    </row>
  </sheetData>
  <mergeCells count="17">
    <mergeCell ref="A4:B4"/>
    <mergeCell ref="A1:D1"/>
    <mergeCell ref="A16:B16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B20:D20"/>
    <mergeCell ref="A12:B12"/>
  </mergeCells>
  <hyperlinks>
    <hyperlink ref="A21" location="null!A1" display="Next"/>
    <hyperlink ref="A22" location="Expenses!A1" display="Home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453125" defaultRowHeight="15" customHeight="1"/>
  <cols>
    <col width="8.6328125" customWidth="1" style="89" min="1" max="26"/>
  </cols>
  <sheetData>
    <row r="1" ht="14.25" customHeight="1" s="89"/>
    <row r="2" ht="14.25" customHeight="1" s="89"/>
    <row r="3" ht="14.25" customHeight="1" s="89"/>
    <row r="4" ht="14.25" customHeight="1" s="89"/>
    <row r="5" ht="14.25" customHeight="1" s="89"/>
    <row r="6" ht="14.25" customHeight="1" s="89"/>
    <row r="7" ht="14.25" customHeight="1" s="89"/>
    <row r="8" ht="14.25" customHeight="1" s="89"/>
    <row r="9" ht="14.25" customHeight="1" s="89"/>
    <row r="10" ht="14.25" customHeight="1" s="89"/>
    <row r="11" ht="14.25" customHeight="1" s="89"/>
    <row r="12" ht="14.25" customHeight="1" s="89"/>
    <row r="13" ht="14.25" customHeight="1" s="89"/>
    <row r="14" ht="14.25" customHeight="1" s="89"/>
    <row r="15" ht="14.25" customHeight="1" s="89"/>
    <row r="16" ht="14.25" customHeight="1" s="89"/>
    <row r="17" ht="14.25" customHeight="1" s="89"/>
    <row r="18" ht="14.25" customHeight="1" s="89"/>
    <row r="19" ht="14.25" customHeight="1" s="89"/>
    <row r="20" ht="14.25" customHeight="1" s="89"/>
    <row r="21" ht="14.25" customHeight="1" s="89"/>
    <row r="22" ht="14.25" customHeight="1" s="89"/>
    <row r="23" ht="14.25" customHeight="1" s="89"/>
    <row r="24" ht="14.25" customHeight="1" s="89"/>
    <row r="25" ht="14.25" customHeight="1" s="89"/>
    <row r="26" ht="14.25" customHeight="1" s="89"/>
    <row r="27" ht="14.25" customHeight="1" s="89"/>
    <row r="28" ht="14.25" customHeight="1" s="89"/>
    <row r="29" ht="14.25" customHeight="1" s="89"/>
    <row r="30" ht="14.25" customHeight="1" s="89"/>
    <row r="31" ht="14.25" customHeight="1" s="89"/>
    <row r="32" ht="14.25" customHeight="1" s="89"/>
    <row r="33" ht="14.25" customHeight="1" s="89"/>
    <row r="34" ht="14.25" customHeight="1" s="89"/>
    <row r="35" ht="14.25" customHeight="1" s="89"/>
    <row r="36" ht="14.25" customHeight="1" s="89"/>
    <row r="37" ht="14.25" customHeight="1" s="89"/>
    <row r="38" ht="14.25" customHeight="1" s="89"/>
    <row r="39" ht="14.25" customHeight="1" s="89"/>
    <row r="40" ht="14.25" customHeight="1" s="89"/>
    <row r="41" ht="14.25" customHeight="1" s="89"/>
    <row r="42" ht="14.25" customHeight="1" s="89"/>
    <row r="43" ht="14.25" customHeight="1" s="89"/>
    <row r="44" ht="14.25" customHeight="1" s="89"/>
    <row r="45" ht="14.25" customHeight="1" s="89"/>
    <row r="46" ht="14.25" customHeight="1" s="89"/>
    <row r="47" ht="14.25" customHeight="1" s="89"/>
    <row r="48" ht="14.25" customHeight="1" s="89"/>
    <row r="49" ht="14.25" customHeight="1" s="89"/>
    <row r="50" ht="14.25" customHeight="1" s="89"/>
    <row r="51" ht="14.25" customHeight="1" s="89"/>
    <row r="52" ht="14.25" customHeight="1" s="89"/>
    <row r="53" ht="14.25" customHeight="1" s="89"/>
    <row r="54" ht="14.25" customHeight="1" s="89"/>
    <row r="55" ht="14.25" customHeight="1" s="89"/>
    <row r="56" ht="14.25" customHeight="1" s="89"/>
    <row r="57" ht="14.25" customHeight="1" s="89"/>
    <row r="58" ht="14.25" customHeight="1" s="89"/>
    <row r="59" ht="14.25" customHeight="1" s="89"/>
    <row r="60" ht="14.25" customHeight="1" s="89"/>
    <row r="61" ht="14.25" customHeight="1" s="89"/>
    <row r="62" ht="14.25" customHeight="1" s="89"/>
    <row r="63" ht="14.25" customHeight="1" s="89"/>
    <row r="64" ht="14.25" customHeight="1" s="89"/>
    <row r="65" ht="14.25" customHeight="1" s="89"/>
    <row r="66" ht="14.25" customHeight="1" s="89"/>
    <row r="67" ht="14.25" customHeight="1" s="89"/>
    <row r="68" ht="14.25" customHeight="1" s="89"/>
    <row r="69" ht="14.25" customHeight="1" s="89"/>
    <row r="70" ht="14.25" customHeight="1" s="89"/>
    <row r="71" ht="14.25" customHeight="1" s="89"/>
    <row r="72" ht="14.25" customHeight="1" s="89"/>
    <row r="73" ht="14.25" customHeight="1" s="89"/>
    <row r="74" ht="14.25" customHeight="1" s="89"/>
    <row r="75" ht="14.25" customHeight="1" s="89"/>
    <row r="76" ht="14.25" customHeight="1" s="89"/>
    <row r="77" ht="14.25" customHeight="1" s="89"/>
    <row r="78" ht="14.25" customHeight="1" s="89"/>
    <row r="79" ht="14.25" customHeight="1" s="89"/>
    <row r="80" ht="14.25" customHeight="1" s="89"/>
    <row r="81" ht="14.25" customHeight="1" s="89"/>
    <row r="82" ht="14.25" customHeight="1" s="89"/>
    <row r="83" ht="14.25" customHeight="1" s="89"/>
    <row r="84" ht="14.25" customHeight="1" s="89"/>
    <row r="85" ht="14.25" customHeight="1" s="89"/>
    <row r="86" ht="14.25" customHeight="1" s="89"/>
    <row r="87" ht="14.25" customHeight="1" s="89"/>
    <row r="88" ht="14.25" customHeight="1" s="89"/>
    <row r="89" ht="14.25" customHeight="1" s="89"/>
    <row r="90" ht="14.25" customHeight="1" s="89"/>
    <row r="91" ht="14.25" customHeight="1" s="89"/>
    <row r="92" ht="14.25" customHeight="1" s="89"/>
    <row r="93" ht="14.25" customHeight="1" s="89"/>
    <row r="94" ht="14.25" customHeight="1" s="89"/>
    <row r="95" ht="14.25" customHeight="1" s="89"/>
    <row r="96" ht="14.25" customHeight="1" s="89"/>
    <row r="97" ht="14.25" customHeight="1" s="89"/>
    <row r="98" ht="14.25" customHeight="1" s="89"/>
    <row r="99" ht="14.25" customHeight="1" s="89"/>
    <row r="100" ht="14.25" customHeight="1" s="89"/>
    <row r="101" ht="14.25" customHeight="1" s="89"/>
    <row r="102" ht="14.25" customHeight="1" s="89"/>
    <row r="103" ht="14.25" customHeight="1" s="89"/>
    <row r="104" ht="14.25" customHeight="1" s="89"/>
    <row r="105" ht="14.25" customHeight="1" s="89"/>
    <row r="106" ht="14.25" customHeight="1" s="89"/>
    <row r="107" ht="14.25" customHeight="1" s="89"/>
    <row r="108" ht="14.25" customHeight="1" s="89"/>
    <row r="109" ht="14.25" customHeight="1" s="89"/>
    <row r="110" ht="14.25" customHeight="1" s="89"/>
    <row r="111" ht="14.25" customHeight="1" s="89"/>
    <row r="112" ht="14.25" customHeight="1" s="89"/>
    <row r="113" ht="14.25" customHeight="1" s="89"/>
    <row r="114" ht="14.25" customHeight="1" s="89"/>
    <row r="115" ht="14.25" customHeight="1" s="89"/>
    <row r="116" ht="14.25" customHeight="1" s="89"/>
    <row r="117" ht="14.25" customHeight="1" s="89"/>
    <row r="118" ht="14.25" customHeight="1" s="89"/>
    <row r="119" ht="14.25" customHeight="1" s="89"/>
    <row r="120" ht="14.25" customHeight="1" s="89"/>
    <row r="121" ht="14.25" customHeight="1" s="89"/>
    <row r="122" ht="14.25" customHeight="1" s="89"/>
    <row r="123" ht="14.25" customHeight="1" s="89"/>
    <row r="124" ht="14.25" customHeight="1" s="89"/>
    <row r="125" ht="14.25" customHeight="1" s="89"/>
    <row r="126" ht="14.25" customHeight="1" s="89"/>
    <row r="127" ht="14.25" customHeight="1" s="89"/>
    <row r="128" ht="14.25" customHeight="1" s="89"/>
    <row r="129" ht="14.25" customHeight="1" s="89"/>
    <row r="130" ht="14.25" customHeight="1" s="89"/>
    <row r="131" ht="14.25" customHeight="1" s="89"/>
    <row r="132" ht="14.25" customHeight="1" s="89"/>
    <row r="133" ht="14.25" customHeight="1" s="89"/>
    <row r="134" ht="14.25" customHeight="1" s="89"/>
    <row r="135" ht="14.25" customHeight="1" s="89"/>
    <row r="136" ht="14.25" customHeight="1" s="89"/>
    <row r="137" ht="14.25" customHeight="1" s="89"/>
    <row r="138" ht="14.25" customHeight="1" s="89"/>
    <row r="139" ht="14.25" customHeight="1" s="89"/>
    <row r="140" ht="14.25" customHeight="1" s="89"/>
    <row r="141" ht="14.25" customHeight="1" s="89"/>
    <row r="142" ht="14.25" customHeight="1" s="89"/>
    <row r="143" ht="14.25" customHeight="1" s="89"/>
    <row r="144" ht="14.25" customHeight="1" s="89"/>
    <row r="145" ht="14.25" customHeight="1" s="89"/>
    <row r="146" ht="14.25" customHeight="1" s="89"/>
    <row r="147" ht="14.25" customHeight="1" s="89"/>
    <row r="148" ht="14.25" customHeight="1" s="89"/>
    <row r="149" ht="14.25" customHeight="1" s="89"/>
    <row r="150" ht="14.25" customHeight="1" s="89"/>
    <row r="151" ht="14.25" customHeight="1" s="89"/>
    <row r="152" ht="14.25" customHeight="1" s="89"/>
    <row r="153" ht="14.25" customHeight="1" s="89"/>
    <row r="154" ht="14.25" customHeight="1" s="89"/>
    <row r="155" ht="14.25" customHeight="1" s="89"/>
    <row r="156" ht="14.25" customHeight="1" s="89"/>
    <row r="157" ht="14.25" customHeight="1" s="89"/>
    <row r="158" ht="14.25" customHeight="1" s="89"/>
    <row r="159" ht="14.25" customHeight="1" s="89"/>
    <row r="160" ht="14.25" customHeight="1" s="89"/>
    <row r="161" ht="14.25" customHeight="1" s="89"/>
    <row r="162" ht="14.25" customHeight="1" s="89"/>
    <row r="163" ht="14.25" customHeight="1" s="89"/>
    <row r="164" ht="14.25" customHeight="1" s="89"/>
    <row r="165" ht="14.25" customHeight="1" s="89"/>
    <row r="166" ht="14.25" customHeight="1" s="89"/>
    <row r="167" ht="14.25" customHeight="1" s="89"/>
    <row r="168" ht="14.25" customHeight="1" s="89"/>
    <row r="169" ht="14.25" customHeight="1" s="89"/>
    <row r="170" ht="14.25" customHeight="1" s="89"/>
    <row r="171" ht="14.25" customHeight="1" s="89"/>
    <row r="172" ht="14.25" customHeight="1" s="89"/>
    <row r="173" ht="14.25" customHeight="1" s="89"/>
    <row r="174" ht="14.25" customHeight="1" s="89"/>
    <row r="175" ht="14.25" customHeight="1" s="89"/>
    <row r="176" ht="14.25" customHeight="1" s="89"/>
    <row r="177" ht="14.25" customHeight="1" s="89"/>
    <row r="178" ht="14.25" customHeight="1" s="89"/>
    <row r="179" ht="14.25" customHeight="1" s="89"/>
    <row r="180" ht="14.25" customHeight="1" s="89"/>
    <row r="181" ht="14.25" customHeight="1" s="89"/>
    <row r="182" ht="14.25" customHeight="1" s="89"/>
    <row r="183" ht="14.25" customHeight="1" s="89"/>
    <row r="184" ht="14.25" customHeight="1" s="89"/>
    <row r="185" ht="14.25" customHeight="1" s="89"/>
    <row r="186" ht="14.25" customHeight="1" s="89"/>
    <row r="187" ht="14.25" customHeight="1" s="89"/>
    <row r="188" ht="14.25" customHeight="1" s="89"/>
    <row r="189" ht="14.25" customHeight="1" s="89"/>
    <row r="190" ht="14.25" customHeight="1" s="89"/>
    <row r="191" ht="14.25" customHeight="1" s="89"/>
    <row r="192" ht="14.25" customHeight="1" s="89"/>
    <row r="193" ht="14.25" customHeight="1" s="89"/>
    <row r="194" ht="14.25" customHeight="1" s="89"/>
    <row r="195" ht="14.25" customHeight="1" s="89"/>
    <row r="196" ht="14.25" customHeight="1" s="89"/>
    <row r="197" ht="14.25" customHeight="1" s="89"/>
    <row r="198" ht="14.25" customHeight="1" s="89"/>
    <row r="199" ht="14.25" customHeight="1" s="89"/>
    <row r="200" ht="14.25" customHeight="1" s="89"/>
    <row r="201" ht="14.25" customHeight="1" s="89"/>
    <row r="202" ht="14.25" customHeight="1" s="89"/>
    <row r="203" ht="14.25" customHeight="1" s="89"/>
    <row r="204" ht="14.25" customHeight="1" s="89"/>
    <row r="205" ht="14.25" customHeight="1" s="89"/>
    <row r="206" ht="14.25" customHeight="1" s="89"/>
    <row r="207" ht="14.25" customHeight="1" s="89"/>
    <row r="208" ht="14.25" customHeight="1" s="89"/>
    <row r="209" ht="14.25" customHeight="1" s="89"/>
    <row r="210" ht="14.25" customHeight="1" s="89"/>
    <row r="211" ht="14.25" customHeight="1" s="89"/>
    <row r="212" ht="14.25" customHeight="1" s="89"/>
    <row r="213" ht="14.25" customHeight="1" s="89"/>
    <row r="214" ht="14.25" customHeight="1" s="89"/>
    <row r="215" ht="14.25" customHeight="1" s="89"/>
    <row r="216" ht="14.25" customHeight="1" s="89"/>
    <row r="217" ht="14.25" customHeight="1" s="89"/>
    <row r="218" ht="14.25" customHeight="1" s="89"/>
    <row r="219" ht="14.25" customHeight="1" s="89"/>
    <row r="220" ht="14.25" customHeight="1" s="89"/>
    <row r="221" ht="14.25" customHeight="1" s="89"/>
    <row r="222" ht="14.25" customHeight="1" s="89"/>
    <row r="223" ht="14.25" customHeight="1" s="89"/>
    <row r="224" ht="14.25" customHeight="1" s="89"/>
    <row r="225" ht="14.25" customHeight="1" s="89"/>
    <row r="226" ht="14.25" customHeight="1" s="89"/>
    <row r="227" ht="14.25" customHeight="1" s="89"/>
    <row r="228" ht="14.25" customHeight="1" s="89"/>
    <row r="229" ht="14.25" customHeight="1" s="89"/>
    <row r="230" ht="14.25" customHeight="1" s="89"/>
    <row r="231" ht="14.25" customHeight="1" s="89"/>
    <row r="232" ht="14.25" customHeight="1" s="89"/>
    <row r="233" ht="14.25" customHeight="1" s="89"/>
    <row r="234" ht="14.25" customHeight="1" s="89"/>
    <row r="235" ht="14.25" customHeight="1" s="89"/>
    <row r="236" ht="14.25" customHeight="1" s="89"/>
    <row r="237" ht="14.25" customHeight="1" s="89"/>
    <row r="238" ht="14.25" customHeight="1" s="89"/>
    <row r="239" ht="14.25" customHeight="1" s="89"/>
    <row r="240" ht="14.25" customHeight="1" s="89"/>
    <row r="241" ht="14.25" customHeight="1" s="89"/>
    <row r="242" ht="14.25" customHeight="1" s="89"/>
    <row r="243" ht="14.25" customHeight="1" s="89"/>
    <row r="244" ht="14.25" customHeight="1" s="89"/>
    <row r="245" ht="14.25" customHeight="1" s="89"/>
    <row r="246" ht="14.25" customHeight="1" s="89"/>
    <row r="247" ht="14.25" customHeight="1" s="89"/>
    <row r="248" ht="14.25" customHeight="1" s="89"/>
    <row r="249" ht="14.25" customHeight="1" s="89"/>
    <row r="250" ht="14.25" customHeight="1" s="89"/>
    <row r="251" ht="14.25" customHeight="1" s="89"/>
    <row r="252" ht="14.25" customHeight="1" s="89"/>
    <row r="253" ht="14.25" customHeight="1" s="89"/>
    <row r="254" ht="14.25" customHeight="1" s="89"/>
    <row r="255" ht="14.25" customHeight="1" s="89"/>
    <row r="256" ht="14.25" customHeight="1" s="89"/>
    <row r="257" ht="14.25" customHeight="1" s="89"/>
    <row r="258" ht="14.25" customHeight="1" s="89"/>
    <row r="259" ht="14.25" customHeight="1" s="89"/>
    <row r="260" ht="14.25" customHeight="1" s="89"/>
    <row r="261" ht="14.25" customHeight="1" s="89"/>
    <row r="262" ht="14.25" customHeight="1" s="89"/>
    <row r="263" ht="14.25" customHeight="1" s="89"/>
    <row r="264" ht="14.25" customHeight="1" s="89"/>
    <row r="265" ht="14.25" customHeight="1" s="89"/>
    <row r="266" ht="14.25" customHeight="1" s="89"/>
    <row r="267" ht="14.25" customHeight="1" s="89"/>
    <row r="268" ht="14.25" customHeight="1" s="89"/>
    <row r="269" ht="14.25" customHeight="1" s="89"/>
    <row r="270" ht="14.25" customHeight="1" s="89"/>
    <row r="271" ht="14.25" customHeight="1" s="89"/>
    <row r="272" ht="14.25" customHeight="1" s="89"/>
    <row r="273" ht="14.25" customHeight="1" s="89"/>
    <row r="274" ht="14.25" customHeight="1" s="89"/>
    <row r="275" ht="14.25" customHeight="1" s="89"/>
    <row r="276" ht="14.25" customHeight="1" s="89"/>
    <row r="277" ht="14.25" customHeight="1" s="89"/>
    <row r="278" ht="14.25" customHeight="1" s="89"/>
    <row r="279" ht="14.25" customHeight="1" s="89"/>
    <row r="280" ht="14.25" customHeight="1" s="89"/>
    <row r="281" ht="14.25" customHeight="1" s="89"/>
    <row r="282" ht="14.25" customHeight="1" s="89"/>
    <row r="283" ht="14.25" customHeight="1" s="89"/>
    <row r="284" ht="14.25" customHeight="1" s="89"/>
    <row r="285" ht="14.25" customHeight="1" s="89"/>
    <row r="286" ht="14.25" customHeight="1" s="89"/>
    <row r="287" ht="14.25" customHeight="1" s="89"/>
    <row r="288" ht="14.25" customHeight="1" s="89"/>
    <row r="289" ht="14.25" customHeight="1" s="89"/>
    <row r="290" ht="14.25" customHeight="1" s="89"/>
    <row r="291" ht="14.25" customHeight="1" s="89"/>
    <row r="292" ht="14.25" customHeight="1" s="89"/>
    <row r="293" ht="14.25" customHeight="1" s="89"/>
    <row r="294" ht="14.25" customHeight="1" s="89"/>
    <row r="295" ht="14.25" customHeight="1" s="89"/>
    <row r="296" ht="14.25" customHeight="1" s="89"/>
    <row r="297" ht="14.25" customHeight="1" s="89"/>
    <row r="298" ht="14.25" customHeight="1" s="89"/>
    <row r="299" ht="14.25" customHeight="1" s="89"/>
    <row r="300" ht="14.25" customHeight="1" s="89"/>
    <row r="301" ht="14.25" customHeight="1" s="89"/>
    <row r="302" ht="14.25" customHeight="1" s="89"/>
    <row r="303" ht="14.25" customHeight="1" s="89"/>
    <row r="304" ht="14.25" customHeight="1" s="89"/>
    <row r="305" ht="14.25" customHeight="1" s="89"/>
    <row r="306" ht="14.25" customHeight="1" s="89"/>
    <row r="307" ht="14.25" customHeight="1" s="89"/>
    <row r="308" ht="14.25" customHeight="1" s="89"/>
    <row r="309" ht="14.25" customHeight="1" s="89"/>
    <row r="310" ht="14.25" customHeight="1" s="89"/>
    <row r="311" ht="14.25" customHeight="1" s="89"/>
    <row r="312" ht="14.25" customHeight="1" s="89"/>
    <row r="313" ht="14.25" customHeight="1" s="89"/>
    <row r="314" ht="14.25" customHeight="1" s="89"/>
    <row r="315" ht="14.25" customHeight="1" s="89"/>
    <row r="316" ht="14.25" customHeight="1" s="89"/>
    <row r="317" ht="14.25" customHeight="1" s="89"/>
    <row r="318" ht="14.25" customHeight="1" s="89"/>
    <row r="319" ht="14.25" customHeight="1" s="89"/>
    <row r="320" ht="14.25" customHeight="1" s="89"/>
    <row r="321" ht="14.25" customHeight="1" s="89"/>
    <row r="322" ht="14.25" customHeight="1" s="89"/>
    <row r="323" ht="14.25" customHeight="1" s="89"/>
    <row r="324" ht="14.25" customHeight="1" s="89"/>
    <row r="325" ht="14.25" customHeight="1" s="89"/>
    <row r="326" ht="14.25" customHeight="1" s="89"/>
    <row r="327" ht="14.25" customHeight="1" s="89"/>
    <row r="328" ht="14.25" customHeight="1" s="89"/>
    <row r="329" ht="14.25" customHeight="1" s="89"/>
    <row r="330" ht="14.25" customHeight="1" s="89"/>
    <row r="331" ht="14.25" customHeight="1" s="89"/>
    <row r="332" ht="14.25" customHeight="1" s="89"/>
    <row r="333" ht="14.25" customHeight="1" s="89"/>
    <row r="334" ht="14.25" customHeight="1" s="89"/>
    <row r="335" ht="14.25" customHeight="1" s="89"/>
    <row r="336" ht="14.25" customHeight="1" s="89"/>
    <row r="337" ht="14.25" customHeight="1" s="89"/>
    <row r="338" ht="14.25" customHeight="1" s="89"/>
    <row r="339" ht="14.25" customHeight="1" s="89"/>
    <row r="340" ht="14.25" customHeight="1" s="89"/>
    <row r="341" ht="14.25" customHeight="1" s="89"/>
    <row r="342" ht="14.25" customHeight="1" s="89"/>
    <row r="343" ht="14.25" customHeight="1" s="89"/>
    <row r="344" ht="14.25" customHeight="1" s="89"/>
    <row r="345" ht="14.25" customHeight="1" s="89"/>
    <row r="346" ht="14.25" customHeight="1" s="89"/>
    <row r="347" ht="14.25" customHeight="1" s="89"/>
    <row r="348" ht="14.25" customHeight="1" s="89"/>
    <row r="349" ht="14.25" customHeight="1" s="89"/>
    <row r="350" ht="14.25" customHeight="1" s="89"/>
    <row r="351" ht="14.25" customHeight="1" s="89"/>
    <row r="352" ht="14.25" customHeight="1" s="89"/>
    <row r="353" ht="14.25" customHeight="1" s="89"/>
    <row r="354" ht="14.25" customHeight="1" s="89"/>
    <row r="355" ht="14.25" customHeight="1" s="89"/>
    <row r="356" ht="14.25" customHeight="1" s="89"/>
    <row r="357" ht="14.25" customHeight="1" s="89"/>
    <row r="358" ht="14.25" customHeight="1" s="89"/>
    <row r="359" ht="14.25" customHeight="1" s="89"/>
    <row r="360" ht="14.25" customHeight="1" s="89"/>
    <row r="361" ht="14.25" customHeight="1" s="89"/>
    <row r="362" ht="14.25" customHeight="1" s="89"/>
    <row r="363" ht="14.25" customHeight="1" s="89"/>
    <row r="364" ht="14.25" customHeight="1" s="89"/>
    <row r="365" ht="14.25" customHeight="1" s="89"/>
    <row r="366" ht="14.25" customHeight="1" s="89"/>
    <row r="367" ht="14.25" customHeight="1" s="89"/>
    <row r="368" ht="14.25" customHeight="1" s="89"/>
    <row r="369" ht="14.25" customHeight="1" s="89"/>
    <row r="370" ht="14.25" customHeight="1" s="89"/>
    <row r="371" ht="14.25" customHeight="1" s="89"/>
    <row r="372" ht="14.25" customHeight="1" s="89"/>
    <row r="373" ht="14.25" customHeight="1" s="89"/>
    <row r="374" ht="14.25" customHeight="1" s="89"/>
    <row r="375" ht="14.25" customHeight="1" s="89"/>
    <row r="376" ht="14.25" customHeight="1" s="89"/>
    <row r="377" ht="14.25" customHeight="1" s="89"/>
    <row r="378" ht="14.25" customHeight="1" s="89"/>
    <row r="379" ht="14.25" customHeight="1" s="89"/>
    <row r="380" ht="14.25" customHeight="1" s="89"/>
    <row r="381" ht="14.25" customHeight="1" s="89"/>
    <row r="382" ht="14.25" customHeight="1" s="89"/>
    <row r="383" ht="14.25" customHeight="1" s="89"/>
    <row r="384" ht="14.25" customHeight="1" s="89"/>
    <row r="385" ht="14.25" customHeight="1" s="89"/>
    <row r="386" ht="14.25" customHeight="1" s="89"/>
    <row r="387" ht="14.25" customHeight="1" s="89"/>
    <row r="388" ht="14.25" customHeight="1" s="89"/>
    <row r="389" ht="14.25" customHeight="1" s="89"/>
    <row r="390" ht="14.25" customHeight="1" s="89"/>
    <row r="391" ht="14.25" customHeight="1" s="89"/>
    <row r="392" ht="14.25" customHeight="1" s="89"/>
    <row r="393" ht="14.25" customHeight="1" s="89"/>
    <row r="394" ht="14.25" customHeight="1" s="89"/>
    <row r="395" ht="14.25" customHeight="1" s="89"/>
    <row r="396" ht="14.25" customHeight="1" s="89"/>
    <row r="397" ht="14.25" customHeight="1" s="89"/>
    <row r="398" ht="14.25" customHeight="1" s="89"/>
    <row r="399" ht="14.25" customHeight="1" s="89"/>
    <row r="400" ht="14.25" customHeight="1" s="89"/>
    <row r="401" ht="14.25" customHeight="1" s="89"/>
    <row r="402" ht="14.25" customHeight="1" s="89"/>
    <row r="403" ht="14.25" customHeight="1" s="89"/>
    <row r="404" ht="14.25" customHeight="1" s="89"/>
    <row r="405" ht="14.25" customHeight="1" s="89"/>
    <row r="406" ht="14.25" customHeight="1" s="89"/>
    <row r="407" ht="14.25" customHeight="1" s="89"/>
    <row r="408" ht="14.25" customHeight="1" s="89"/>
    <row r="409" ht="14.25" customHeight="1" s="89"/>
    <row r="410" ht="14.25" customHeight="1" s="89"/>
    <row r="411" ht="14.25" customHeight="1" s="89"/>
    <row r="412" ht="14.25" customHeight="1" s="89"/>
    <row r="413" ht="14.25" customHeight="1" s="89"/>
    <row r="414" ht="14.25" customHeight="1" s="89"/>
    <row r="415" ht="14.25" customHeight="1" s="89"/>
    <row r="416" ht="14.25" customHeight="1" s="89"/>
    <row r="417" ht="14.25" customHeight="1" s="89"/>
    <row r="418" ht="14.25" customHeight="1" s="89"/>
    <row r="419" ht="14.25" customHeight="1" s="89"/>
    <row r="420" ht="14.25" customHeight="1" s="89"/>
    <row r="421" ht="14.25" customHeight="1" s="89"/>
    <row r="422" ht="14.25" customHeight="1" s="89"/>
    <row r="423" ht="14.25" customHeight="1" s="89"/>
    <row r="424" ht="14.25" customHeight="1" s="89"/>
    <row r="425" ht="14.25" customHeight="1" s="89"/>
    <row r="426" ht="14.25" customHeight="1" s="89"/>
    <row r="427" ht="14.25" customHeight="1" s="89"/>
    <row r="428" ht="14.25" customHeight="1" s="89"/>
    <row r="429" ht="14.25" customHeight="1" s="89"/>
    <row r="430" ht="14.25" customHeight="1" s="89"/>
    <row r="431" ht="14.25" customHeight="1" s="89"/>
    <row r="432" ht="14.25" customHeight="1" s="89"/>
    <row r="433" ht="14.25" customHeight="1" s="89"/>
    <row r="434" ht="14.25" customHeight="1" s="89"/>
    <row r="435" ht="14.25" customHeight="1" s="89"/>
    <row r="436" ht="14.25" customHeight="1" s="89"/>
    <row r="437" ht="14.25" customHeight="1" s="89"/>
    <row r="438" ht="14.25" customHeight="1" s="89"/>
    <row r="439" ht="14.25" customHeight="1" s="89"/>
    <row r="440" ht="14.25" customHeight="1" s="89"/>
    <row r="441" ht="14.25" customHeight="1" s="89"/>
    <row r="442" ht="14.25" customHeight="1" s="89"/>
    <row r="443" ht="14.25" customHeight="1" s="89"/>
    <row r="444" ht="14.25" customHeight="1" s="89"/>
    <row r="445" ht="14.25" customHeight="1" s="89"/>
    <row r="446" ht="14.25" customHeight="1" s="89"/>
    <row r="447" ht="14.25" customHeight="1" s="89"/>
    <row r="448" ht="14.25" customHeight="1" s="89"/>
    <row r="449" ht="14.25" customHeight="1" s="89"/>
    <row r="450" ht="14.25" customHeight="1" s="89"/>
    <row r="451" ht="14.25" customHeight="1" s="89"/>
    <row r="452" ht="14.25" customHeight="1" s="89"/>
    <row r="453" ht="14.25" customHeight="1" s="89"/>
    <row r="454" ht="14.25" customHeight="1" s="89"/>
    <row r="455" ht="14.25" customHeight="1" s="89"/>
    <row r="456" ht="14.25" customHeight="1" s="89"/>
    <row r="457" ht="14.25" customHeight="1" s="89"/>
    <row r="458" ht="14.25" customHeight="1" s="89"/>
    <row r="459" ht="14.25" customHeight="1" s="89"/>
    <row r="460" ht="14.25" customHeight="1" s="89"/>
    <row r="461" ht="14.25" customHeight="1" s="89"/>
    <row r="462" ht="14.25" customHeight="1" s="89"/>
    <row r="463" ht="14.25" customHeight="1" s="89"/>
    <row r="464" ht="14.25" customHeight="1" s="89"/>
    <row r="465" ht="14.25" customHeight="1" s="89"/>
    <row r="466" ht="14.25" customHeight="1" s="89"/>
    <row r="467" ht="14.25" customHeight="1" s="89"/>
    <row r="468" ht="14.25" customHeight="1" s="89"/>
    <row r="469" ht="14.25" customHeight="1" s="89"/>
    <row r="470" ht="14.25" customHeight="1" s="89"/>
    <row r="471" ht="14.25" customHeight="1" s="89"/>
    <row r="472" ht="14.25" customHeight="1" s="89"/>
    <row r="473" ht="14.25" customHeight="1" s="89"/>
    <row r="474" ht="14.25" customHeight="1" s="89"/>
    <row r="475" ht="14.25" customHeight="1" s="89"/>
    <row r="476" ht="14.25" customHeight="1" s="89"/>
    <row r="477" ht="14.25" customHeight="1" s="89"/>
    <row r="478" ht="14.25" customHeight="1" s="89"/>
    <row r="479" ht="14.25" customHeight="1" s="89"/>
    <row r="480" ht="14.25" customHeight="1" s="89"/>
    <row r="481" ht="14.25" customHeight="1" s="89"/>
    <row r="482" ht="14.25" customHeight="1" s="89"/>
    <row r="483" ht="14.25" customHeight="1" s="89"/>
    <row r="484" ht="14.25" customHeight="1" s="89"/>
    <row r="485" ht="14.25" customHeight="1" s="89"/>
    <row r="486" ht="14.25" customHeight="1" s="89"/>
    <row r="487" ht="14.25" customHeight="1" s="89"/>
    <row r="488" ht="14.25" customHeight="1" s="89"/>
    <row r="489" ht="14.25" customHeight="1" s="89"/>
    <row r="490" ht="14.25" customHeight="1" s="89"/>
    <row r="491" ht="14.25" customHeight="1" s="89"/>
    <row r="492" ht="14.25" customHeight="1" s="89"/>
    <row r="493" ht="14.25" customHeight="1" s="89"/>
    <row r="494" ht="14.25" customHeight="1" s="89"/>
    <row r="495" ht="14.25" customHeight="1" s="89"/>
    <row r="496" ht="14.25" customHeight="1" s="89"/>
    <row r="497" ht="14.25" customHeight="1" s="89"/>
    <row r="498" ht="14.25" customHeight="1" s="89"/>
    <row r="499" ht="14.25" customHeight="1" s="89"/>
    <row r="500" ht="14.25" customHeight="1" s="89"/>
    <row r="501" ht="14.25" customHeight="1" s="89"/>
    <row r="502" ht="14.25" customHeight="1" s="89"/>
    <row r="503" ht="14.25" customHeight="1" s="89"/>
    <row r="504" ht="14.25" customHeight="1" s="89"/>
    <row r="505" ht="14.25" customHeight="1" s="89"/>
    <row r="506" ht="14.25" customHeight="1" s="89"/>
    <row r="507" ht="14.25" customHeight="1" s="89"/>
    <row r="508" ht="14.25" customHeight="1" s="89"/>
    <row r="509" ht="14.25" customHeight="1" s="89"/>
    <row r="510" ht="14.25" customHeight="1" s="89"/>
    <row r="511" ht="14.25" customHeight="1" s="89"/>
    <row r="512" ht="14.25" customHeight="1" s="89"/>
    <row r="513" ht="14.25" customHeight="1" s="89"/>
    <row r="514" ht="14.25" customHeight="1" s="89"/>
    <row r="515" ht="14.25" customHeight="1" s="89"/>
    <row r="516" ht="14.25" customHeight="1" s="89"/>
    <row r="517" ht="14.25" customHeight="1" s="89"/>
    <row r="518" ht="14.25" customHeight="1" s="89"/>
    <row r="519" ht="14.25" customHeight="1" s="89"/>
    <row r="520" ht="14.25" customHeight="1" s="89"/>
    <row r="521" ht="14.25" customHeight="1" s="89"/>
    <row r="522" ht="14.25" customHeight="1" s="89"/>
    <row r="523" ht="14.25" customHeight="1" s="89"/>
    <row r="524" ht="14.25" customHeight="1" s="89"/>
    <row r="525" ht="14.25" customHeight="1" s="89"/>
    <row r="526" ht="14.25" customHeight="1" s="89"/>
    <row r="527" ht="14.25" customHeight="1" s="89"/>
    <row r="528" ht="14.25" customHeight="1" s="89"/>
    <row r="529" ht="14.25" customHeight="1" s="89"/>
    <row r="530" ht="14.25" customHeight="1" s="89"/>
    <row r="531" ht="14.25" customHeight="1" s="89"/>
    <row r="532" ht="14.25" customHeight="1" s="89"/>
    <row r="533" ht="14.25" customHeight="1" s="89"/>
    <row r="534" ht="14.25" customHeight="1" s="89"/>
    <row r="535" ht="14.25" customHeight="1" s="89"/>
    <row r="536" ht="14.25" customHeight="1" s="89"/>
    <row r="537" ht="14.25" customHeight="1" s="89"/>
    <row r="538" ht="14.25" customHeight="1" s="89"/>
    <row r="539" ht="14.25" customHeight="1" s="89"/>
    <row r="540" ht="14.25" customHeight="1" s="89"/>
    <row r="541" ht="14.25" customHeight="1" s="89"/>
    <row r="542" ht="14.25" customHeight="1" s="89"/>
    <row r="543" ht="14.25" customHeight="1" s="89"/>
    <row r="544" ht="14.25" customHeight="1" s="89"/>
    <row r="545" ht="14.25" customHeight="1" s="89"/>
    <row r="546" ht="14.25" customHeight="1" s="89"/>
    <row r="547" ht="14.25" customHeight="1" s="89"/>
    <row r="548" ht="14.25" customHeight="1" s="89"/>
    <row r="549" ht="14.25" customHeight="1" s="89"/>
    <row r="550" ht="14.25" customHeight="1" s="89"/>
    <row r="551" ht="14.25" customHeight="1" s="89"/>
    <row r="552" ht="14.25" customHeight="1" s="89"/>
    <row r="553" ht="14.25" customHeight="1" s="89"/>
    <row r="554" ht="14.25" customHeight="1" s="89"/>
    <row r="555" ht="14.25" customHeight="1" s="89"/>
    <row r="556" ht="14.25" customHeight="1" s="89"/>
    <row r="557" ht="14.25" customHeight="1" s="89"/>
    <row r="558" ht="14.25" customHeight="1" s="89"/>
    <row r="559" ht="14.25" customHeight="1" s="89"/>
    <row r="560" ht="14.25" customHeight="1" s="89"/>
    <row r="561" ht="14.25" customHeight="1" s="89"/>
    <row r="562" ht="14.25" customHeight="1" s="89"/>
    <row r="563" ht="14.25" customHeight="1" s="89"/>
    <row r="564" ht="14.25" customHeight="1" s="89"/>
    <row r="565" ht="14.25" customHeight="1" s="89"/>
    <row r="566" ht="14.25" customHeight="1" s="89"/>
    <row r="567" ht="14.25" customHeight="1" s="89"/>
    <row r="568" ht="14.25" customHeight="1" s="89"/>
    <row r="569" ht="14.25" customHeight="1" s="89"/>
    <row r="570" ht="14.25" customHeight="1" s="89"/>
    <row r="571" ht="14.25" customHeight="1" s="89"/>
    <row r="572" ht="14.25" customHeight="1" s="89"/>
    <row r="573" ht="14.25" customHeight="1" s="89"/>
    <row r="574" ht="14.25" customHeight="1" s="89"/>
    <row r="575" ht="14.25" customHeight="1" s="89"/>
    <row r="576" ht="14.25" customHeight="1" s="89"/>
    <row r="577" ht="14.25" customHeight="1" s="89"/>
    <row r="578" ht="14.25" customHeight="1" s="89"/>
    <row r="579" ht="14.25" customHeight="1" s="89"/>
    <row r="580" ht="14.25" customHeight="1" s="89"/>
    <row r="581" ht="14.25" customHeight="1" s="89"/>
    <row r="582" ht="14.25" customHeight="1" s="89"/>
    <row r="583" ht="14.25" customHeight="1" s="89"/>
    <row r="584" ht="14.25" customHeight="1" s="89"/>
    <row r="585" ht="14.25" customHeight="1" s="89"/>
    <row r="586" ht="14.25" customHeight="1" s="89"/>
    <row r="587" ht="14.25" customHeight="1" s="89"/>
    <row r="588" ht="14.25" customHeight="1" s="89"/>
    <row r="589" ht="14.25" customHeight="1" s="89"/>
    <row r="590" ht="14.25" customHeight="1" s="89"/>
    <row r="591" ht="14.25" customHeight="1" s="89"/>
    <row r="592" ht="14.25" customHeight="1" s="89"/>
    <row r="593" ht="14.25" customHeight="1" s="89"/>
    <row r="594" ht="14.25" customHeight="1" s="89"/>
    <row r="595" ht="14.25" customHeight="1" s="89"/>
    <row r="596" ht="14.25" customHeight="1" s="89"/>
    <row r="597" ht="14.25" customHeight="1" s="89"/>
    <row r="598" ht="14.25" customHeight="1" s="89"/>
    <row r="599" ht="14.25" customHeight="1" s="89"/>
    <row r="600" ht="14.25" customHeight="1" s="89"/>
    <row r="601" ht="14.25" customHeight="1" s="89"/>
    <row r="602" ht="14.25" customHeight="1" s="89"/>
    <row r="603" ht="14.25" customHeight="1" s="89"/>
    <row r="604" ht="14.25" customHeight="1" s="89"/>
    <row r="605" ht="14.25" customHeight="1" s="89"/>
    <row r="606" ht="14.25" customHeight="1" s="89"/>
    <row r="607" ht="14.25" customHeight="1" s="89"/>
    <row r="608" ht="14.25" customHeight="1" s="89"/>
    <row r="609" ht="14.25" customHeight="1" s="89"/>
    <row r="610" ht="14.25" customHeight="1" s="89"/>
    <row r="611" ht="14.25" customHeight="1" s="89"/>
    <row r="612" ht="14.25" customHeight="1" s="89"/>
    <row r="613" ht="14.25" customHeight="1" s="89"/>
    <row r="614" ht="14.25" customHeight="1" s="89"/>
    <row r="615" ht="14.25" customHeight="1" s="89"/>
    <row r="616" ht="14.25" customHeight="1" s="89"/>
    <row r="617" ht="14.25" customHeight="1" s="89"/>
    <row r="618" ht="14.25" customHeight="1" s="89"/>
    <row r="619" ht="14.25" customHeight="1" s="89"/>
    <row r="620" ht="14.25" customHeight="1" s="89"/>
    <row r="621" ht="14.25" customHeight="1" s="89"/>
    <row r="622" ht="14.25" customHeight="1" s="89"/>
    <row r="623" ht="14.25" customHeight="1" s="89"/>
    <row r="624" ht="14.25" customHeight="1" s="89"/>
    <row r="625" ht="14.25" customHeight="1" s="89"/>
    <row r="626" ht="14.25" customHeight="1" s="89"/>
    <row r="627" ht="14.25" customHeight="1" s="89"/>
    <row r="628" ht="14.25" customHeight="1" s="89"/>
    <row r="629" ht="14.25" customHeight="1" s="89"/>
    <row r="630" ht="14.25" customHeight="1" s="89"/>
    <row r="631" ht="14.25" customHeight="1" s="89"/>
    <row r="632" ht="14.25" customHeight="1" s="89"/>
    <row r="633" ht="14.25" customHeight="1" s="89"/>
    <row r="634" ht="14.25" customHeight="1" s="89"/>
    <row r="635" ht="14.25" customHeight="1" s="89"/>
    <row r="636" ht="14.25" customHeight="1" s="89"/>
    <row r="637" ht="14.25" customHeight="1" s="89"/>
    <row r="638" ht="14.25" customHeight="1" s="89"/>
    <row r="639" ht="14.25" customHeight="1" s="89"/>
    <row r="640" ht="14.25" customHeight="1" s="89"/>
    <row r="641" ht="14.25" customHeight="1" s="89"/>
    <row r="642" ht="14.25" customHeight="1" s="89"/>
    <row r="643" ht="14.25" customHeight="1" s="89"/>
    <row r="644" ht="14.25" customHeight="1" s="89"/>
    <row r="645" ht="14.25" customHeight="1" s="89"/>
    <row r="646" ht="14.25" customHeight="1" s="89"/>
    <row r="647" ht="14.25" customHeight="1" s="89"/>
    <row r="648" ht="14.25" customHeight="1" s="89"/>
    <row r="649" ht="14.25" customHeight="1" s="89"/>
    <row r="650" ht="14.25" customHeight="1" s="89"/>
    <row r="651" ht="14.25" customHeight="1" s="89"/>
    <row r="652" ht="14.25" customHeight="1" s="89"/>
    <row r="653" ht="14.25" customHeight="1" s="89"/>
    <row r="654" ht="14.25" customHeight="1" s="89"/>
    <row r="655" ht="14.25" customHeight="1" s="89"/>
    <row r="656" ht="14.25" customHeight="1" s="89"/>
    <row r="657" ht="14.25" customHeight="1" s="89"/>
    <row r="658" ht="14.25" customHeight="1" s="89"/>
    <row r="659" ht="14.25" customHeight="1" s="89"/>
    <row r="660" ht="14.25" customHeight="1" s="89"/>
    <row r="661" ht="14.25" customHeight="1" s="89"/>
    <row r="662" ht="14.25" customHeight="1" s="89"/>
    <row r="663" ht="14.25" customHeight="1" s="89"/>
    <row r="664" ht="14.25" customHeight="1" s="89"/>
    <row r="665" ht="14.25" customHeight="1" s="89"/>
    <row r="666" ht="14.25" customHeight="1" s="89"/>
    <row r="667" ht="14.25" customHeight="1" s="89"/>
    <row r="668" ht="14.25" customHeight="1" s="89"/>
    <row r="669" ht="14.25" customHeight="1" s="89"/>
    <row r="670" ht="14.25" customHeight="1" s="89"/>
    <row r="671" ht="14.25" customHeight="1" s="89"/>
    <row r="672" ht="14.25" customHeight="1" s="89"/>
    <row r="673" ht="14.25" customHeight="1" s="89"/>
    <row r="674" ht="14.25" customHeight="1" s="89"/>
    <row r="675" ht="14.25" customHeight="1" s="89"/>
    <row r="676" ht="14.25" customHeight="1" s="89"/>
    <row r="677" ht="14.25" customHeight="1" s="89"/>
    <row r="678" ht="14.25" customHeight="1" s="89"/>
    <row r="679" ht="14.25" customHeight="1" s="89"/>
    <row r="680" ht="14.25" customHeight="1" s="89"/>
    <row r="681" ht="14.25" customHeight="1" s="89"/>
    <row r="682" ht="14.25" customHeight="1" s="89"/>
    <row r="683" ht="14.25" customHeight="1" s="89"/>
    <row r="684" ht="14.25" customHeight="1" s="89"/>
    <row r="685" ht="14.25" customHeight="1" s="89"/>
    <row r="686" ht="14.25" customHeight="1" s="89"/>
    <row r="687" ht="14.25" customHeight="1" s="89"/>
    <row r="688" ht="14.25" customHeight="1" s="89"/>
    <row r="689" ht="14.25" customHeight="1" s="89"/>
    <row r="690" ht="14.25" customHeight="1" s="89"/>
    <row r="691" ht="14.25" customHeight="1" s="89"/>
    <row r="692" ht="14.25" customHeight="1" s="89"/>
    <row r="693" ht="14.25" customHeight="1" s="89"/>
    <row r="694" ht="14.25" customHeight="1" s="89"/>
    <row r="695" ht="14.25" customHeight="1" s="89"/>
    <row r="696" ht="14.25" customHeight="1" s="89"/>
    <row r="697" ht="14.25" customHeight="1" s="89"/>
    <row r="698" ht="14.25" customHeight="1" s="89"/>
    <row r="699" ht="14.25" customHeight="1" s="89"/>
    <row r="700" ht="14.25" customHeight="1" s="89"/>
    <row r="701" ht="14.25" customHeight="1" s="89"/>
    <row r="702" ht="14.25" customHeight="1" s="89"/>
    <row r="703" ht="14.25" customHeight="1" s="89"/>
    <row r="704" ht="14.25" customHeight="1" s="89"/>
    <row r="705" ht="14.25" customHeight="1" s="89"/>
    <row r="706" ht="14.25" customHeight="1" s="89"/>
    <row r="707" ht="14.25" customHeight="1" s="89"/>
    <row r="708" ht="14.25" customHeight="1" s="89"/>
    <row r="709" ht="14.25" customHeight="1" s="89"/>
    <row r="710" ht="14.25" customHeight="1" s="89"/>
    <row r="711" ht="14.25" customHeight="1" s="89"/>
    <row r="712" ht="14.25" customHeight="1" s="89"/>
    <row r="713" ht="14.25" customHeight="1" s="89"/>
    <row r="714" ht="14.25" customHeight="1" s="89"/>
    <row r="715" ht="14.25" customHeight="1" s="89"/>
    <row r="716" ht="14.25" customHeight="1" s="89"/>
    <row r="717" ht="14.25" customHeight="1" s="89"/>
    <row r="718" ht="14.25" customHeight="1" s="89"/>
    <row r="719" ht="14.25" customHeight="1" s="89"/>
    <row r="720" ht="14.25" customHeight="1" s="89"/>
    <row r="721" ht="14.25" customHeight="1" s="89"/>
    <row r="722" ht="14.25" customHeight="1" s="89"/>
    <row r="723" ht="14.25" customHeight="1" s="89"/>
    <row r="724" ht="14.25" customHeight="1" s="89"/>
    <row r="725" ht="14.25" customHeight="1" s="89"/>
    <row r="726" ht="14.25" customHeight="1" s="89"/>
    <row r="727" ht="14.25" customHeight="1" s="89"/>
    <row r="728" ht="14.25" customHeight="1" s="89"/>
    <row r="729" ht="14.25" customHeight="1" s="89"/>
    <row r="730" ht="14.25" customHeight="1" s="89"/>
    <row r="731" ht="14.25" customHeight="1" s="89"/>
    <row r="732" ht="14.25" customHeight="1" s="89"/>
    <row r="733" ht="14.25" customHeight="1" s="89"/>
    <row r="734" ht="14.25" customHeight="1" s="89"/>
    <row r="735" ht="14.25" customHeight="1" s="89"/>
    <row r="736" ht="14.25" customHeight="1" s="89"/>
    <row r="737" ht="14.25" customHeight="1" s="89"/>
    <row r="738" ht="14.25" customHeight="1" s="89"/>
    <row r="739" ht="14.25" customHeight="1" s="89"/>
    <row r="740" ht="14.25" customHeight="1" s="89"/>
    <row r="741" ht="14.25" customHeight="1" s="89"/>
    <row r="742" ht="14.25" customHeight="1" s="89"/>
    <row r="743" ht="14.25" customHeight="1" s="89"/>
    <row r="744" ht="14.25" customHeight="1" s="89"/>
    <row r="745" ht="14.25" customHeight="1" s="89"/>
    <row r="746" ht="14.25" customHeight="1" s="89"/>
    <row r="747" ht="14.25" customHeight="1" s="89"/>
    <row r="748" ht="14.25" customHeight="1" s="89"/>
    <row r="749" ht="14.25" customHeight="1" s="89"/>
    <row r="750" ht="14.25" customHeight="1" s="89"/>
    <row r="751" ht="14.25" customHeight="1" s="89"/>
    <row r="752" ht="14.25" customHeight="1" s="89"/>
    <row r="753" ht="14.25" customHeight="1" s="89"/>
    <row r="754" ht="14.25" customHeight="1" s="89"/>
    <row r="755" ht="14.25" customHeight="1" s="89"/>
    <row r="756" ht="14.25" customHeight="1" s="89"/>
    <row r="757" ht="14.25" customHeight="1" s="89"/>
    <row r="758" ht="14.25" customHeight="1" s="89"/>
    <row r="759" ht="14.25" customHeight="1" s="89"/>
    <row r="760" ht="14.25" customHeight="1" s="89"/>
    <row r="761" ht="14.25" customHeight="1" s="89"/>
    <row r="762" ht="14.25" customHeight="1" s="89"/>
    <row r="763" ht="14.25" customHeight="1" s="89"/>
    <row r="764" ht="14.25" customHeight="1" s="89"/>
    <row r="765" ht="14.25" customHeight="1" s="89"/>
    <row r="766" ht="14.25" customHeight="1" s="89"/>
    <row r="767" ht="14.25" customHeight="1" s="89"/>
    <row r="768" ht="14.25" customHeight="1" s="89"/>
    <row r="769" ht="14.25" customHeight="1" s="89"/>
    <row r="770" ht="14.25" customHeight="1" s="89"/>
    <row r="771" ht="14.25" customHeight="1" s="89"/>
    <row r="772" ht="14.25" customHeight="1" s="89"/>
    <row r="773" ht="14.25" customHeight="1" s="89"/>
    <row r="774" ht="14.25" customHeight="1" s="89"/>
    <row r="775" ht="14.25" customHeight="1" s="89"/>
    <row r="776" ht="14.25" customHeight="1" s="89"/>
    <row r="777" ht="14.25" customHeight="1" s="89"/>
    <row r="778" ht="14.25" customHeight="1" s="89"/>
    <row r="779" ht="14.25" customHeight="1" s="89"/>
    <row r="780" ht="14.25" customHeight="1" s="89"/>
    <row r="781" ht="14.25" customHeight="1" s="89"/>
    <row r="782" ht="14.25" customHeight="1" s="89"/>
    <row r="783" ht="14.25" customHeight="1" s="89"/>
    <row r="784" ht="14.25" customHeight="1" s="89"/>
    <row r="785" ht="14.25" customHeight="1" s="89"/>
    <row r="786" ht="14.25" customHeight="1" s="89"/>
    <row r="787" ht="14.25" customHeight="1" s="89"/>
    <row r="788" ht="14.25" customHeight="1" s="89"/>
    <row r="789" ht="14.25" customHeight="1" s="89"/>
    <row r="790" ht="14.25" customHeight="1" s="89"/>
    <row r="791" ht="14.25" customHeight="1" s="89"/>
    <row r="792" ht="14.25" customHeight="1" s="89"/>
    <row r="793" ht="14.25" customHeight="1" s="89"/>
    <row r="794" ht="14.25" customHeight="1" s="89"/>
    <row r="795" ht="14.25" customHeight="1" s="89"/>
    <row r="796" ht="14.25" customHeight="1" s="89"/>
    <row r="797" ht="14.25" customHeight="1" s="89"/>
    <row r="798" ht="14.25" customHeight="1" s="89"/>
    <row r="799" ht="14.25" customHeight="1" s="89"/>
    <row r="800" ht="14.25" customHeight="1" s="89"/>
    <row r="801" ht="14.25" customHeight="1" s="89"/>
    <row r="802" ht="14.25" customHeight="1" s="89"/>
    <row r="803" ht="14.25" customHeight="1" s="89"/>
    <row r="804" ht="14.25" customHeight="1" s="89"/>
    <row r="805" ht="14.25" customHeight="1" s="89"/>
    <row r="806" ht="14.25" customHeight="1" s="89"/>
    <row r="807" ht="14.25" customHeight="1" s="89"/>
    <row r="808" ht="14.25" customHeight="1" s="89"/>
    <row r="809" ht="14.25" customHeight="1" s="89"/>
    <row r="810" ht="14.25" customHeight="1" s="89"/>
    <row r="811" ht="14.25" customHeight="1" s="89"/>
    <row r="812" ht="14.25" customHeight="1" s="89"/>
    <row r="813" ht="14.25" customHeight="1" s="89"/>
    <row r="814" ht="14.25" customHeight="1" s="89"/>
    <row r="815" ht="14.25" customHeight="1" s="89"/>
    <row r="816" ht="14.25" customHeight="1" s="89"/>
    <row r="817" ht="14.25" customHeight="1" s="89"/>
    <row r="818" ht="14.25" customHeight="1" s="89"/>
    <row r="819" ht="14.25" customHeight="1" s="89"/>
    <row r="820" ht="14.25" customHeight="1" s="89"/>
    <row r="821" ht="14.25" customHeight="1" s="89"/>
    <row r="822" ht="14.25" customHeight="1" s="89"/>
    <row r="823" ht="14.25" customHeight="1" s="89"/>
    <row r="824" ht="14.25" customHeight="1" s="89"/>
    <row r="825" ht="14.25" customHeight="1" s="89"/>
    <row r="826" ht="14.25" customHeight="1" s="89"/>
    <row r="827" ht="14.25" customHeight="1" s="89"/>
    <row r="828" ht="14.25" customHeight="1" s="89"/>
    <row r="829" ht="14.25" customHeight="1" s="89"/>
    <row r="830" ht="14.25" customHeight="1" s="89"/>
    <row r="831" ht="14.25" customHeight="1" s="89"/>
    <row r="832" ht="14.25" customHeight="1" s="89"/>
    <row r="833" ht="14.25" customHeight="1" s="89"/>
    <row r="834" ht="14.25" customHeight="1" s="89"/>
    <row r="835" ht="14.25" customHeight="1" s="89"/>
    <row r="836" ht="14.25" customHeight="1" s="89"/>
    <row r="837" ht="14.25" customHeight="1" s="89"/>
    <row r="838" ht="14.25" customHeight="1" s="89"/>
    <row r="839" ht="14.25" customHeight="1" s="89"/>
    <row r="840" ht="14.25" customHeight="1" s="89"/>
    <row r="841" ht="14.25" customHeight="1" s="89"/>
    <row r="842" ht="14.25" customHeight="1" s="89"/>
    <row r="843" ht="14.25" customHeight="1" s="89"/>
    <row r="844" ht="14.25" customHeight="1" s="89"/>
    <row r="845" ht="14.25" customHeight="1" s="89"/>
    <row r="846" ht="14.25" customHeight="1" s="89"/>
    <row r="847" ht="14.25" customHeight="1" s="89"/>
    <row r="848" ht="14.25" customHeight="1" s="89"/>
    <row r="849" ht="14.25" customHeight="1" s="89"/>
    <row r="850" ht="14.25" customHeight="1" s="89"/>
    <row r="851" ht="14.25" customHeight="1" s="89"/>
    <row r="852" ht="14.25" customHeight="1" s="89"/>
    <row r="853" ht="14.25" customHeight="1" s="89"/>
    <row r="854" ht="14.25" customHeight="1" s="89"/>
    <row r="855" ht="14.25" customHeight="1" s="89"/>
    <row r="856" ht="14.25" customHeight="1" s="89"/>
    <row r="857" ht="14.25" customHeight="1" s="89"/>
    <row r="858" ht="14.25" customHeight="1" s="89"/>
    <row r="859" ht="14.25" customHeight="1" s="89"/>
    <row r="860" ht="14.25" customHeight="1" s="89"/>
    <row r="861" ht="14.25" customHeight="1" s="89"/>
    <row r="862" ht="14.25" customHeight="1" s="89"/>
    <row r="863" ht="14.25" customHeight="1" s="89"/>
    <row r="864" ht="14.25" customHeight="1" s="89"/>
    <row r="865" ht="14.25" customHeight="1" s="89"/>
    <row r="866" ht="14.25" customHeight="1" s="89"/>
    <row r="867" ht="14.25" customHeight="1" s="89"/>
    <row r="868" ht="14.25" customHeight="1" s="89"/>
    <row r="869" ht="14.25" customHeight="1" s="89"/>
    <row r="870" ht="14.25" customHeight="1" s="89"/>
    <row r="871" ht="14.25" customHeight="1" s="89"/>
    <row r="872" ht="14.25" customHeight="1" s="89"/>
    <row r="873" ht="14.25" customHeight="1" s="89"/>
    <row r="874" ht="14.25" customHeight="1" s="89"/>
    <row r="875" ht="14.25" customHeight="1" s="89"/>
    <row r="876" ht="14.25" customHeight="1" s="89"/>
    <row r="877" ht="14.25" customHeight="1" s="89"/>
    <row r="878" ht="14.25" customHeight="1" s="89"/>
    <row r="879" ht="14.25" customHeight="1" s="89"/>
    <row r="880" ht="14.25" customHeight="1" s="89"/>
    <row r="881" ht="14.25" customHeight="1" s="89"/>
    <row r="882" ht="14.25" customHeight="1" s="89"/>
    <row r="883" ht="14.25" customHeight="1" s="89"/>
    <row r="884" ht="14.25" customHeight="1" s="89"/>
    <row r="885" ht="14.25" customHeight="1" s="89"/>
    <row r="886" ht="14.25" customHeight="1" s="89"/>
    <row r="887" ht="14.25" customHeight="1" s="89"/>
    <row r="888" ht="14.25" customHeight="1" s="89"/>
    <row r="889" ht="14.25" customHeight="1" s="89"/>
    <row r="890" ht="14.25" customHeight="1" s="89"/>
    <row r="891" ht="14.25" customHeight="1" s="89"/>
    <row r="892" ht="14.25" customHeight="1" s="89"/>
    <row r="893" ht="14.25" customHeight="1" s="89"/>
    <row r="894" ht="14.25" customHeight="1" s="89"/>
    <row r="895" ht="14.25" customHeight="1" s="89"/>
    <row r="896" ht="14.25" customHeight="1" s="89"/>
    <row r="897" ht="14.25" customHeight="1" s="89"/>
    <row r="898" ht="14.25" customHeight="1" s="89"/>
    <row r="899" ht="14.25" customHeight="1" s="89"/>
    <row r="900" ht="14.25" customHeight="1" s="89"/>
    <row r="901" ht="14.25" customHeight="1" s="89"/>
    <row r="902" ht="14.25" customHeight="1" s="89"/>
    <row r="903" ht="14.25" customHeight="1" s="89"/>
    <row r="904" ht="14.25" customHeight="1" s="89"/>
    <row r="905" ht="14.25" customHeight="1" s="89"/>
    <row r="906" ht="14.25" customHeight="1" s="89"/>
    <row r="907" ht="14.25" customHeight="1" s="89"/>
    <row r="908" ht="14.25" customHeight="1" s="89"/>
    <row r="909" ht="14.25" customHeight="1" s="89"/>
    <row r="910" ht="14.25" customHeight="1" s="89"/>
    <row r="911" ht="14.25" customHeight="1" s="89"/>
    <row r="912" ht="14.25" customHeight="1" s="89"/>
    <row r="913" ht="14.25" customHeight="1" s="89"/>
    <row r="914" ht="14.25" customHeight="1" s="89"/>
    <row r="915" ht="14.25" customHeight="1" s="89"/>
    <row r="916" ht="14.25" customHeight="1" s="89"/>
    <row r="917" ht="14.25" customHeight="1" s="89"/>
    <row r="918" ht="14.25" customHeight="1" s="89"/>
    <row r="919" ht="14.25" customHeight="1" s="89"/>
    <row r="920" ht="14.25" customHeight="1" s="89"/>
    <row r="921" ht="14.25" customHeight="1" s="89"/>
    <row r="922" ht="14.25" customHeight="1" s="89"/>
    <row r="923" ht="14.25" customHeight="1" s="89"/>
    <row r="924" ht="14.25" customHeight="1" s="89"/>
    <row r="925" ht="14.25" customHeight="1" s="89"/>
    <row r="926" ht="14.25" customHeight="1" s="89"/>
    <row r="927" ht="14.25" customHeight="1" s="89"/>
    <row r="928" ht="14.25" customHeight="1" s="89"/>
    <row r="929" ht="14.25" customHeight="1" s="89"/>
    <row r="930" ht="14.25" customHeight="1" s="89"/>
    <row r="931" ht="14.25" customHeight="1" s="89"/>
    <row r="932" ht="14.25" customHeight="1" s="89"/>
    <row r="933" ht="14.25" customHeight="1" s="89"/>
    <row r="934" ht="14.25" customHeight="1" s="89"/>
    <row r="935" ht="14.25" customHeight="1" s="89"/>
    <row r="936" ht="14.25" customHeight="1" s="89"/>
    <row r="937" ht="14.25" customHeight="1" s="89"/>
    <row r="938" ht="14.25" customHeight="1" s="89"/>
    <row r="939" ht="14.25" customHeight="1" s="89"/>
    <row r="940" ht="14.25" customHeight="1" s="89"/>
    <row r="941" ht="14.25" customHeight="1" s="89"/>
    <row r="942" ht="14.25" customHeight="1" s="89"/>
    <row r="943" ht="14.25" customHeight="1" s="89"/>
    <row r="944" ht="14.25" customHeight="1" s="89"/>
    <row r="945" ht="14.25" customHeight="1" s="89"/>
    <row r="946" ht="14.25" customHeight="1" s="89"/>
    <row r="947" ht="14.25" customHeight="1" s="89"/>
    <row r="948" ht="14.25" customHeight="1" s="89"/>
    <row r="949" ht="14.25" customHeight="1" s="89"/>
    <row r="950" ht="14.25" customHeight="1" s="89"/>
    <row r="951" ht="14.25" customHeight="1" s="89"/>
    <row r="952" ht="14.25" customHeight="1" s="89"/>
    <row r="953" ht="14.25" customHeight="1" s="89"/>
    <row r="954" ht="14.25" customHeight="1" s="89"/>
    <row r="955" ht="14.25" customHeight="1" s="89"/>
    <row r="956" ht="14.25" customHeight="1" s="89"/>
    <row r="957" ht="14.25" customHeight="1" s="89"/>
    <row r="958" ht="14.25" customHeight="1" s="89"/>
    <row r="959" ht="14.25" customHeight="1" s="89"/>
    <row r="960" ht="14.25" customHeight="1" s="89"/>
    <row r="961" ht="14.25" customHeight="1" s="89"/>
    <row r="962" ht="14.25" customHeight="1" s="89"/>
    <row r="963" ht="14.25" customHeight="1" s="89"/>
    <row r="964" ht="14.25" customHeight="1" s="89"/>
    <row r="965" ht="14.25" customHeight="1" s="89"/>
    <row r="966" ht="14.25" customHeight="1" s="89"/>
    <row r="967" ht="14.25" customHeight="1" s="89"/>
    <row r="968" ht="14.25" customHeight="1" s="89"/>
    <row r="969" ht="14.25" customHeight="1" s="89"/>
    <row r="970" ht="14.25" customHeight="1" s="89"/>
    <row r="971" ht="14.25" customHeight="1" s="89"/>
    <row r="972" ht="14.25" customHeight="1" s="89"/>
    <row r="973" ht="14.25" customHeight="1" s="89"/>
    <row r="974" ht="14.25" customHeight="1" s="89"/>
    <row r="975" ht="14.25" customHeight="1" s="89"/>
    <row r="976" ht="14.25" customHeight="1" s="89"/>
    <row r="977" ht="14.25" customHeight="1" s="89"/>
    <row r="978" ht="14.25" customHeight="1" s="89"/>
    <row r="979" ht="14.25" customHeight="1" s="89"/>
    <row r="980" ht="14.25" customHeight="1" s="89"/>
    <row r="981" ht="14.25" customHeight="1" s="89"/>
    <row r="982" ht="14.25" customHeight="1" s="89"/>
    <row r="983" ht="14.25" customHeight="1" s="89"/>
    <row r="984" ht="14.25" customHeight="1" s="89"/>
    <row r="985" ht="14.25" customHeight="1" s="89"/>
    <row r="986" ht="14.25" customHeight="1" s="89"/>
    <row r="987" ht="14.25" customHeight="1" s="89"/>
    <row r="988" ht="14.25" customHeight="1" s="89"/>
    <row r="989" ht="14.25" customHeight="1" s="89"/>
    <row r="990" ht="14.25" customHeight="1" s="89"/>
    <row r="991" ht="14.25" customHeight="1" s="89"/>
    <row r="992" ht="14.25" customHeight="1" s="89"/>
    <row r="993" ht="14.25" customHeight="1" s="89"/>
    <row r="994" ht="14.25" customHeight="1" s="89"/>
    <row r="995" ht="14.25" customHeight="1" s="89"/>
    <row r="996" ht="14.25" customHeight="1" s="89"/>
    <row r="997" ht="14.25" customHeight="1" s="89"/>
    <row r="998" ht="14.25" customHeight="1" s="89"/>
    <row r="999" ht="14.25" customHeight="1" s="89"/>
    <row r="1000" ht="14.25" customHeight="1" s="8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2026-08-18T11:25:15Z</dcterms:created>
  <dcterms:modified xmlns:dcterms="http://purl.org/dc/terms/" xmlns:xsi="http://www.w3.org/2001/XMLSchema-instance" xsi:type="dcterms:W3CDTF">2026-09-08T06:15:17Z</dcterms:modified>
  <cp:lastModifiedBy>Estiguan Navas</cp:lastModifiedBy>
</cp:coreProperties>
</file>